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galuru Hotels - Night Stay" sheetId="1" state="visible" r:id="rId3"/>
    <sheet name="Bangalore.csv Hotels" sheetId="2" state="visible" r:id="rId4"/>
    <sheet name="OYO Bangalore Hote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<sst xmlns="http://schemas.openxmlformats.org/spreadsheetml/2006/main" count="1041" uniqueCount="587">
  <si>
    <t xml:space="preserve">Bengaluru Hotels / Lodges - Night-wise Stay Cost (1 to 20 Nights)</t>
  </si>
  <si>
    <t xml:space="preserve">Expanded curated list of REAL, named hotels across major Bengaluru areas. NOT a complete list — booking platforms show 5,000-6,000+ properties citywide, with no public bulk dataset of verified addresses/live rates. 'Address Precision' column shows whether the full street address was confirmed or only the area/locality. Rates are approximate published rates at time of search and fluctuate.</t>
  </si>
  <si>
    <t xml:space="preserve">Hotel / Lodge</t>
  </si>
  <si>
    <t xml:space="preserve">Category</t>
  </si>
  <si>
    <t xml:space="preserve">Area</t>
  </si>
  <si>
    <t xml:space="preserve">Address</t>
  </si>
  <si>
    <t xml:space="preserve">Address Precision</t>
  </si>
  <si>
    <t xml:space="preserve">Rate per Night (₹)</t>
  </si>
  <si>
    <t xml:space="preserve">Source</t>
  </si>
  <si>
    <t xml:space="preserve">FabHotel Arafa Inn</t>
  </si>
  <si>
    <t xml:space="preserve">Budget</t>
  </si>
  <si>
    <t xml:space="preserve">Gandhi Nagar / Majestic</t>
  </si>
  <si>
    <t xml:space="preserve">No.23, 2nd Main Road, Gandhi Nagar, Bengaluru 560009</t>
  </si>
  <si>
    <t xml:space="preserve">Full address verified</t>
  </si>
  <si>
    <t xml:space="preserve">Booking.com/Yatra</t>
  </si>
  <si>
    <t xml:space="preserve">Hotel Basant Residency</t>
  </si>
  <si>
    <t xml:space="preserve">Gandhi Nagar / City Station</t>
  </si>
  <si>
    <t xml:space="preserve">Near Bengaluru City Railway Station, Gandhi Nagar, Bengaluru</t>
  </si>
  <si>
    <t xml:space="preserve">Area-level only</t>
  </si>
  <si>
    <t xml:space="preserve">Hoteldekho</t>
  </si>
  <si>
    <t xml:space="preserve">Hotel Bangalore International</t>
  </si>
  <si>
    <t xml:space="preserve">Near Bengaluru City Junction Railway Station, Gandhi Nagar, Bengaluru</t>
  </si>
  <si>
    <t xml:space="preserve">Empire Hotel Infantry Road</t>
  </si>
  <si>
    <t xml:space="preserve">Budget/Mid</t>
  </si>
  <si>
    <t xml:space="preserve">Infantry Road, Shivaji Nagar</t>
  </si>
  <si>
    <t xml:space="preserve">Infantry Road, Shivaji Nagar, Bengaluru 560001</t>
  </si>
  <si>
    <t xml:space="preserve">La Sara Grand</t>
  </si>
  <si>
    <t xml:space="preserve">Mid-range</t>
  </si>
  <si>
    <t xml:space="preserve">Koramangala</t>
  </si>
  <si>
    <t xml:space="preserve">Koramangala, Bengaluru (within 1.2 mi of Forum Mall)</t>
  </si>
  <si>
    <t xml:space="preserve">Booking.com</t>
  </si>
  <si>
    <t xml:space="preserve">Blu Petal Hotel</t>
  </si>
  <si>
    <t xml:space="preserve">Koramangala, Bengaluru</t>
  </si>
  <si>
    <t xml:space="preserve">Regenta Inn Grand Koramangala</t>
  </si>
  <si>
    <t xml:space="preserve">Koramangala, Bengaluru (by Royal Orchid Hotels)</t>
  </si>
  <si>
    <t xml:space="preserve">Tulip Inn Koramangala</t>
  </si>
  <si>
    <t xml:space="preserve">Koramangala, Bengaluru (1.9 mi from Forum Mall)</t>
  </si>
  <si>
    <t xml:space="preserve">Davanam Sarovar Portico Suites</t>
  </si>
  <si>
    <t xml:space="preserve">Yatra</t>
  </si>
  <si>
    <t xml:space="preserve">The Chancery Pavillion</t>
  </si>
  <si>
    <t xml:space="preserve">Residency Road</t>
  </si>
  <si>
    <t xml:space="preserve">135, Residency Road, Bengaluru 560025</t>
  </si>
  <si>
    <t xml:space="preserve">Agoda</t>
  </si>
  <si>
    <t xml:space="preserve">Fortune Select JP Cosmos</t>
  </si>
  <si>
    <t xml:space="preserve">Premium</t>
  </si>
  <si>
    <t xml:space="preserve">The Park Bangalore</t>
  </si>
  <si>
    <t xml:space="preserve">MG Road area</t>
  </si>
  <si>
    <t xml:space="preserve">Bengaluru (near Koramangala/MG Road)</t>
  </si>
  <si>
    <t xml:space="preserve">Hilton Bangalore Embassy GolfLinks</t>
  </si>
  <si>
    <t xml:space="preserve">Domlur Layout</t>
  </si>
  <si>
    <t xml:space="preserve">139/28, Opposite Embassy Golf Links, Domlur Layout, Off Intermediate Ring Road, Bengaluru</t>
  </si>
  <si>
    <t xml:space="preserve">MakeMyTrip</t>
  </si>
  <si>
    <t xml:space="preserve">Grand Mercure Bangalore (Koramangala)</t>
  </si>
  <si>
    <t xml:space="preserve">Trip.com</t>
  </si>
  <si>
    <t xml:space="preserve">St. Marks Hotel Bengaluru (Radisson Individuals)</t>
  </si>
  <si>
    <t xml:space="preserve">St. Marks Road</t>
  </si>
  <si>
    <t xml:space="preserve">St. Marks Road, Bengaluru</t>
  </si>
  <si>
    <t xml:space="preserve">Expedia</t>
  </si>
  <si>
    <t xml:space="preserve">Fairfield by Marriott Bengaluru Rajajinagar</t>
  </si>
  <si>
    <t xml:space="preserve">Rajajinagar</t>
  </si>
  <si>
    <t xml:space="preserve">Rajajinagar, Bengaluru 560010</t>
  </si>
  <si>
    <t xml:space="preserve">Gokulam Grand Hotel &amp; Spa</t>
  </si>
  <si>
    <t xml:space="preserve">2nd Block, Rajajinagar, Bengaluru 560010</t>
  </si>
  <si>
    <t xml:space="preserve">Royal Orchid Central Bangalore</t>
  </si>
  <si>
    <t xml:space="preserve">Dickenson Road</t>
  </si>
  <si>
    <t xml:space="preserve">47, Dickenson Road, Bengaluru 560042</t>
  </si>
  <si>
    <t xml:space="preserve">Vivanta Bengaluru, MG Road</t>
  </si>
  <si>
    <t xml:space="preserve">MG Road</t>
  </si>
  <si>
    <t xml:space="preserve">41/3, MG Road, Bengaluru 560001</t>
  </si>
  <si>
    <t xml:space="preserve">Public listing</t>
  </si>
  <si>
    <t xml:space="preserve">ITC Gardenia</t>
  </si>
  <si>
    <t xml:space="preserve">1, Residency Road, Bengaluru 560025</t>
  </si>
  <si>
    <t xml:space="preserve">Taj MG Road Bengaluru</t>
  </si>
  <si>
    <t xml:space="preserve">Luxury</t>
  </si>
  <si>
    <t xml:space="preserve">MG Road / Ulsoor</t>
  </si>
  <si>
    <t xml:space="preserve">37-39, Mahatma Gandhi Road, Yellappa Chetty Layout, Bengaluru</t>
  </si>
  <si>
    <t xml:space="preserve">The Oberoi, Bengaluru</t>
  </si>
  <si>
    <t xml:space="preserve">39, MG Road, Bengaluru 560001</t>
  </si>
  <si>
    <t xml:space="preserve">The Ritz-Carlton Bengaluru</t>
  </si>
  <si>
    <t xml:space="preserve">Richmond Road</t>
  </si>
  <si>
    <t xml:space="preserve">46, Richmond Road, Bengaluru 560025</t>
  </si>
  <si>
    <t xml:space="preserve">Hotel Ganga Sagar</t>
  </si>
  <si>
    <t xml:space="preserve">The Bouvice</t>
  </si>
  <si>
    <t xml:space="preserve">Koramangala, Bengaluru (3 floors, 26 rooms)</t>
  </si>
  <si>
    <t xml:space="preserve">Taj West End</t>
  </si>
  <si>
    <t xml:space="preserve">Race Course Road</t>
  </si>
  <si>
    <t xml:space="preserve">Race Course Road, Bengaluru 560001</t>
  </si>
  <si>
    <t xml:space="preserve">The Leela Palace Bengaluru</t>
  </si>
  <si>
    <t xml:space="preserve">Old Airport Road</t>
  </si>
  <si>
    <t xml:space="preserve">23, Kodihalli, Old Airport Road, Bengaluru 560008</t>
  </si>
  <si>
    <t xml:space="preserve">Sheraton Grand Bengaluru Whitefield Hotel &amp; Convention Centre</t>
  </si>
  <si>
    <t xml:space="preserve">Whitefield</t>
  </si>
  <si>
    <t xml:space="preserve">Whitefield, Bengaluru</t>
  </si>
  <si>
    <t xml:space="preserve">MakeMyTrip (USD 225/night)</t>
  </si>
  <si>
    <t xml:space="preserve">Mulberry Shades, A Tribute Portfolio Resort by Marriott</t>
  </si>
  <si>
    <t xml:space="preserve">MakeMyTrip (USD 242/night)</t>
  </si>
  <si>
    <t xml:space="preserve">ITC Hotel - Whitefield area property</t>
  </si>
  <si>
    <t xml:space="preserve">Whitefield (ITPL Road)</t>
  </si>
  <si>
    <t xml:space="preserve">244, Hoody Village, Rajapalya, ITPL Road, Whitefield, Bengaluru</t>
  </si>
  <si>
    <t xml:space="preserve">Hotel near EPIP Zone Whitefield</t>
  </si>
  <si>
    <t xml:space="preserve">Plot No. 4, EPIP Zone, Beside Harman Building, Next to ITPL Back Gate, Whitefield, Bengaluru</t>
  </si>
  <si>
    <t xml:space="preserve">Ixora Suites (Near 100 Ft Rd &amp; Indiranagar Metro)</t>
  </si>
  <si>
    <t xml:space="preserve">Indiranagar</t>
  </si>
  <si>
    <t xml:space="preserve">18-19, 9th Main, NGEF Lane, Indiranagar I Stage, Adjacent to Indiranagar Metro Station, CMH Road, Bengaluru</t>
  </si>
  <si>
    <t xml:space="preserve">Bloom Hotel - Indiranagar</t>
  </si>
  <si>
    <t xml:space="preserve">Indiranagar (100 Feet Road)</t>
  </si>
  <si>
    <t xml:space="preserve">100 Feet Road, Indiranagar, Bengaluru</t>
  </si>
  <si>
    <t xml:space="preserve">Hotel Noble Nook, 100 Ft Road</t>
  </si>
  <si>
    <t xml:space="preserve">100 Ft Road, Indiranagar, Bengaluru</t>
  </si>
  <si>
    <t xml:space="preserve">Sanctum Suites Indiranagar</t>
  </si>
  <si>
    <t xml:space="preserve">Indiranagar, Bengaluru</t>
  </si>
  <si>
    <t xml:space="preserve">Clarion Hotel Bangalore</t>
  </si>
  <si>
    <t xml:space="preserve">HSR Layout</t>
  </si>
  <si>
    <t xml:space="preserve">HSR Layout, Bengaluru</t>
  </si>
  <si>
    <t xml:space="preserve">Hotels.com</t>
  </si>
  <si>
    <t xml:space="preserve">Treebo Kings Orchid</t>
  </si>
  <si>
    <t xml:space="preserve">Ibis Bengaluru Outer Ring Road</t>
  </si>
  <si>
    <t xml:space="preserve">Outer Ring Road (near HSR)</t>
  </si>
  <si>
    <t xml:space="preserve">Outer Ring Road, Bengaluru</t>
  </si>
  <si>
    <t xml:space="preserve">FabHotel Astra Suites</t>
  </si>
  <si>
    <t xml:space="preserve">FabHotels</t>
  </si>
  <si>
    <t xml:space="preserve">FabHotel Seven Olives</t>
  </si>
  <si>
    <t xml:space="preserve">Hotel near Jayanagar 4th Block</t>
  </si>
  <si>
    <t xml:space="preserve">Jayanagar</t>
  </si>
  <si>
    <t xml:space="preserve">No 7, 28th C Cross, 11th Main, Jayanagar 4th Block, Bengaluru 560011</t>
  </si>
  <si>
    <t xml:space="preserve">Hotel in St. Thomas Town</t>
  </si>
  <si>
    <t xml:space="preserve">Kacharakanahalli</t>
  </si>
  <si>
    <t xml:space="preserve">No 83, 2nd-4th Floor, St. Thomas Town, Kamanahalli Main Road, Bengaluru 560084</t>
  </si>
  <si>
    <t xml:space="preserve">Hotel in HRBR Layout</t>
  </si>
  <si>
    <t xml:space="preserve">Kalyan Nagar</t>
  </si>
  <si>
    <t xml:space="preserve">No.713, 2nd Cross, 7th Main, HRBR Layout 1st Block, Bengaluru 560043</t>
  </si>
  <si>
    <t xml:space="preserve">Hotel in Kammanahalli</t>
  </si>
  <si>
    <t xml:space="preserve">Kammanahalli</t>
  </si>
  <si>
    <t xml:space="preserve">#45, Kammanahalli Main Road, NRI Layout, Bengaluru</t>
  </si>
  <si>
    <t xml:space="preserve">Hotel in Hennur</t>
  </si>
  <si>
    <t xml:space="preserve">Hennur</t>
  </si>
  <si>
    <t xml:space="preserve">Site No.346 Sy No.31/8, Hennur Kasaba Hobli, Bengaluru 560077</t>
  </si>
  <si>
    <t xml:space="preserve">Hotel in Sivanchetti Gardens</t>
  </si>
  <si>
    <t xml:space="preserve">Sivanchetti Gardens</t>
  </si>
  <si>
    <t xml:space="preserve">2/1, St Johns Rd, Hermit Colony, Ulsoor, Bengaluru 560042</t>
  </si>
  <si>
    <t xml:space="preserve">Hotel on Ulsoor Lake</t>
  </si>
  <si>
    <t xml:space="preserve">Ulsoor</t>
  </si>
  <si>
    <t xml:space="preserve">25/3, Kensington Rd, Off MG Road, Ulsoor, Bengaluru 560008</t>
  </si>
  <si>
    <t xml:space="preserve">Grand Mercure Bengaluru at Gopalan Mall</t>
  </si>
  <si>
    <t xml:space="preserve">C V Raman Nagar</t>
  </si>
  <si>
    <t xml:space="preserve">Opposite RMZ Infinity Techpark, Swamy Vivekananda Road, Bengaluru</t>
  </si>
  <si>
    <t xml:space="preserve">Night-wise Stay Cost (formula-driven: Rate × Nights)</t>
  </si>
  <si>
    <t xml:space="preserve">1N/1D</t>
  </si>
  <si>
    <t xml:space="preserve">2N/2D</t>
  </si>
  <si>
    <t xml:space="preserve">3N/3D</t>
  </si>
  <si>
    <t xml:space="preserve">4N/4D</t>
  </si>
  <si>
    <t xml:space="preserve">5N/5D</t>
  </si>
  <si>
    <t xml:space="preserve">6N/6D</t>
  </si>
  <si>
    <t xml:space="preserve">7N/7D</t>
  </si>
  <si>
    <t xml:space="preserve">8N/8D</t>
  </si>
  <si>
    <t xml:space="preserve">9N/9D</t>
  </si>
  <si>
    <t xml:space="preserve">10N/10D</t>
  </si>
  <si>
    <t xml:space="preserve">11N/11D</t>
  </si>
  <si>
    <t xml:space="preserve">12N/12D</t>
  </si>
  <si>
    <t xml:space="preserve">13N/13D</t>
  </si>
  <si>
    <t xml:space="preserve">14N/14D</t>
  </si>
  <si>
    <t xml:space="preserve">15N/15D</t>
  </si>
  <si>
    <t xml:space="preserve">16N/16D</t>
  </si>
  <si>
    <t xml:space="preserve">17N/17D</t>
  </si>
  <si>
    <t xml:space="preserve">18N/18D</t>
  </si>
  <si>
    <t xml:space="preserve">19N/19D</t>
  </si>
  <si>
    <t xml:space="preserve">20N/20D</t>
  </si>
  <si>
    <t xml:space="preserve">Bengaluru Hotels (from uploaded bangalore.csv) - Night-wise Fare (1-20 Nights)</t>
  </si>
  <si>
    <t xml:space="preserve">101 hotels from uploaded file. Price = per-night room rate as listed in source file (incl. tax shown separately).</t>
  </si>
  <si>
    <t xml:space="preserve">Hotel Name</t>
  </si>
  <si>
    <t xml:space="preserve">Location</t>
  </si>
  <si>
    <t xml:space="preserve">Star Rating</t>
  </si>
  <si>
    <t xml:space="preserve">Rating</t>
  </si>
  <si>
    <t xml:space="preserve">Price per Night (₹)</t>
  </si>
  <si>
    <t xml:space="preserve">Tax (₹)</t>
  </si>
  <si>
    <t xml:space="preserve">Keys Select by Lemon Tree Hotels, Whitefield, Bengaluru</t>
  </si>
  <si>
    <t xml:space="preserve">Brookefield</t>
  </si>
  <si>
    <t xml:space="preserve">ITC Windsor - A Luxury Collection Hotel</t>
  </si>
  <si>
    <t xml:space="preserve">Vasanth Nagar </t>
  </si>
  <si>
    <t xml:space="preserve">Lemon Tree Premier Ulsoor Lake Bangalore</t>
  </si>
  <si>
    <t xml:space="preserve">Sivanchetti Gardens </t>
  </si>
  <si>
    <t xml:space="preserve">Keys Select by Lemon Tree Hotels, Hosur Road, Bengaluru</t>
  </si>
  <si>
    <t xml:space="preserve">Hosur road</t>
  </si>
  <si>
    <t xml:space="preserve">The Chancery Pavilion</t>
  </si>
  <si>
    <t xml:space="preserve">Ashok Nagar </t>
  </si>
  <si>
    <t xml:space="preserve">Radisson Blu Atria Bengaluru</t>
  </si>
  <si>
    <t xml:space="preserve">Palace road</t>
  </si>
  <si>
    <t xml:space="preserve">Lemon Tree Hotel Electronics City Bangalore</t>
  </si>
  <si>
    <t xml:space="preserve">Electronic City</t>
  </si>
  <si>
    <t xml:space="preserve">Welcomhotel by ITC Hotels, Richmond Road, Bengaluru</t>
  </si>
  <si>
    <t xml:space="preserve">Richmond road</t>
  </si>
  <si>
    <t xml:space="preserve">Grand Mercure Bangalore - An Accor Brand</t>
  </si>
  <si>
    <t xml:space="preserve">Holiday Inn Express Bengaluru Yeshwantpur</t>
  </si>
  <si>
    <t xml:space="preserve">Tumkur road</t>
  </si>
  <si>
    <t xml:space="preserve">goSTOPS Bengaluru - Rooms &amp; Dorms</t>
  </si>
  <si>
    <t xml:space="preserve">Gandhi Nagar</t>
  </si>
  <si>
    <t xml:space="preserve">Holiday Inn Bengaluru Racecourse</t>
  </si>
  <si>
    <t xml:space="preserve">Fortune Select JP Cosmos - Member ITC Hotel Group</t>
  </si>
  <si>
    <t xml:space="preserve">Hyatt Centric MG Road Bangalore</t>
  </si>
  <si>
    <t xml:space="preserve">Ibis Bengaluru City Centre - An Accor Brand</t>
  </si>
  <si>
    <t xml:space="preserve">Sampangi Rama Nagar </t>
  </si>
  <si>
    <t xml:space="preserve">The Fern Residency - Yeshwanthpur, Bengaluru</t>
  </si>
  <si>
    <t xml:space="preserve">Ashraya International Hotel</t>
  </si>
  <si>
    <t xml:space="preserve">Infantry Road </t>
  </si>
  <si>
    <t xml:space="preserve">Taj M G Road, Bengaluru</t>
  </si>
  <si>
    <t xml:space="preserve">Draper Startup House Koramangala | Dorms &amp; Rooms</t>
  </si>
  <si>
    <t xml:space="preserve">The Lalit Ashok Bangalore</t>
  </si>
  <si>
    <t xml:space="preserve">Seshadripuram</t>
  </si>
  <si>
    <t xml:space="preserve">Vivanta Bengaluru, Residency Road</t>
  </si>
  <si>
    <t xml:space="preserve">Residency Road </t>
  </si>
  <si>
    <t xml:space="preserve">ibis Bengaluru Hebbal - An Accor Brand</t>
  </si>
  <si>
    <t xml:space="preserve">Hebbal</t>
  </si>
  <si>
    <t xml:space="preserve">Vividus</t>
  </si>
  <si>
    <t xml:space="preserve">Citrus Hotel Cunningham</t>
  </si>
  <si>
    <t xml:space="preserve">Cunningham Road </t>
  </si>
  <si>
    <t xml:space="preserve">Citrus Classic Bengaluru</t>
  </si>
  <si>
    <t xml:space="preserve">Outer Ring Road</t>
  </si>
  <si>
    <t xml:space="preserve">Taj Yeshwantpur, Bengaluru</t>
  </si>
  <si>
    <t xml:space="preserve">Lemon Tree Hotel Whitefield</t>
  </si>
  <si>
    <t xml:space="preserve">Golden Lotus Bangalore Boutique Suites | Rooms &amp; Garden
Like a 3</t>
  </si>
  <si>
    <t xml:space="preserve">Richmond road </t>
  </si>
  <si>
    <t xml:space="preserve">Ramada Encore</t>
  </si>
  <si>
    <t xml:space="preserve">Ibis Bengaluru Hosur Road - An Accor Brand</t>
  </si>
  <si>
    <t xml:space="preserve">Holiday Inn Express Bengaluru Whitefield ITPL</t>
  </si>
  <si>
    <t xml:space="preserve">The Hosteller Bangalore Brigade Road</t>
  </si>
  <si>
    <t xml:space="preserve">Ginger Bangalore (IRR)</t>
  </si>
  <si>
    <t xml:space="preserve">Mathikere</t>
  </si>
  <si>
    <t xml:space="preserve">Bloom Hotel - Airport Road Bengaluru</t>
  </si>
  <si>
    <t xml:space="preserve">Near Bangalore Airport </t>
  </si>
  <si>
    <t xml:space="preserve">Hotel Ramanashree Richmond Circle</t>
  </si>
  <si>
    <t xml:space="preserve">SRS Suites
Like a 3</t>
  </si>
  <si>
    <t xml:space="preserve">JP CORDIAL</t>
  </si>
  <si>
    <t xml:space="preserve">Majestic</t>
  </si>
  <si>
    <t xml:space="preserve">Taj Bangalore</t>
  </si>
  <si>
    <t xml:space="preserve">Radisson Bengaluru City Center</t>
  </si>
  <si>
    <t xml:space="preserve">The Pride Hotel Bangalore</t>
  </si>
  <si>
    <t xml:space="preserve">BloomSuites | Electronic City</t>
  </si>
  <si>
    <t xml:space="preserve">Southern Star Bangalore</t>
  </si>
  <si>
    <t xml:space="preserve">Ulsoor </t>
  </si>
  <si>
    <t xml:space="preserve">Shivas Galaxy Hotel</t>
  </si>
  <si>
    <t xml:space="preserve">The Bouvice
Like a 3</t>
  </si>
  <si>
    <t xml:space="preserve">JW Marriott Bengaluru Prestige Golfshire Resort and Spa</t>
  </si>
  <si>
    <t xml:space="preserve">In Devanhalli </t>
  </si>
  <si>
    <t xml:space="preserve">La Sara Grand (Formerly Known as Nandhana Grand)</t>
  </si>
  <si>
    <t xml:space="preserve">Zone By The Park Infantry</t>
  </si>
  <si>
    <t xml:space="preserve">The Chancery</t>
  </si>
  <si>
    <t xml:space="preserve">Nash Inn Electronic City</t>
  </si>
  <si>
    <t xml:space="preserve">Radisson Blu Bengaluru Outer Ring Road</t>
  </si>
  <si>
    <t xml:space="preserve">Ginger Bangalore, Whitefield</t>
  </si>
  <si>
    <t xml:space="preserve">Hotel Royal Orchid Bangalore</t>
  </si>
  <si>
    <t xml:space="preserve">The Hosteller Bangalore, Koramangala</t>
  </si>
  <si>
    <t xml:space="preserve">Silicon City Hotel</t>
  </si>
  <si>
    <t xml:space="preserve">Country Inn And Suites By Radisson Bengaluru Hebbal</t>
  </si>
  <si>
    <t xml:space="preserve">Octave Himalaya Monarch</t>
  </si>
  <si>
    <t xml:space="preserve">Greenpark Bengaluru</t>
  </si>
  <si>
    <t xml:space="preserve">Bannerghatta Main road</t>
  </si>
  <si>
    <t xml:space="preserve">ITC Gardenia - A Luxury Collection Hotel</t>
  </si>
  <si>
    <t xml:space="preserve">The Continentti Whitefield</t>
  </si>
  <si>
    <t xml:space="preserve">The Monarch Luxur</t>
  </si>
  <si>
    <t xml:space="preserve">Ballal Residency</t>
  </si>
  <si>
    <t xml:space="preserve">Hibernest Indiranagar</t>
  </si>
  <si>
    <t xml:space="preserve">Fortune Park JP Celestial-Member ITC Hotel Group</t>
  </si>
  <si>
    <t xml:space="preserve">Click Hotel Bangalore, International Airport</t>
  </si>
  <si>
    <t xml:space="preserve">Omatra Hotel HSR</t>
  </si>
  <si>
    <t xml:space="preserve">Svenska Design Hotel</t>
  </si>
  <si>
    <t xml:space="preserve">Peninsula Suites</t>
  </si>
  <si>
    <t xml:space="preserve">Iris Hotel &amp; Spa Bangalore</t>
  </si>
  <si>
    <t xml:space="preserve">SM Royal Stay Hotel near Intl Airport Bangalore</t>
  </si>
  <si>
    <t xml:space="preserve">Halcyon Residences
Like a 3</t>
  </si>
  <si>
    <t xml:space="preserve">Shangri-La Bengaluru</t>
  </si>
  <si>
    <t xml:space="preserve">Palace road </t>
  </si>
  <si>
    <t xml:space="preserve">The Leela Bhartiya City Bengaluru</t>
  </si>
  <si>
    <t xml:space="preserve">Tirumanahalli</t>
  </si>
  <si>
    <t xml:space="preserve">Holiday Inn Express &amp; Suites, OMR Bengaluru</t>
  </si>
  <si>
    <t xml:space="preserve">Fairfield By Marriott Bengaluru Rajajinagar</t>
  </si>
  <si>
    <t xml:space="preserve">The Zuri Whitefield</t>
  </si>
  <si>
    <t xml:space="preserve">MAYBAACH HOTELS</t>
  </si>
  <si>
    <t xml:space="preserve">Marathahalli</t>
  </si>
  <si>
    <t xml:space="preserve">Regenta Place Bangalore by Royal Orchid Hotels Limited</t>
  </si>
  <si>
    <t xml:space="preserve">Shivaji Nagar </t>
  </si>
  <si>
    <t xml:space="preserve">Icon Business Hotel by Bhagini</t>
  </si>
  <si>
    <t xml:space="preserve">HAL old airport road</t>
  </si>
  <si>
    <t xml:space="preserve">Sterlings Mac Hotel &amp; Suites</t>
  </si>
  <si>
    <t xml:space="preserve">Nexstay Kites Inn</t>
  </si>
  <si>
    <t xml:space="preserve">Omatra Infantry Road | Rooms in a Homestay</t>
  </si>
  <si>
    <t xml:space="preserve">Bloom Hotel HSR Layout Sector 3</t>
  </si>
  <si>
    <t xml:space="preserve">NOOR EMPIRE INTERNATIONAL</t>
  </si>
  <si>
    <t xml:space="preserve">Attide Biz</t>
  </si>
  <si>
    <t xml:space="preserve">Stayhome Classic</t>
  </si>
  <si>
    <t xml:space="preserve">Bilekahalli</t>
  </si>
  <si>
    <t xml:space="preserve">DoubleTree Suites by Hilton</t>
  </si>
  <si>
    <t xml:space="preserve">Bloomrooms @ Indiranagar</t>
  </si>
  <si>
    <t xml:space="preserve">RG Royal Hotel</t>
  </si>
  <si>
    <t xml:space="preserve">Yeshwanthpur</t>
  </si>
  <si>
    <t xml:space="preserve">Four Seasons Hotel Bengaluru at Embassy One</t>
  </si>
  <si>
    <t xml:space="preserve">Ganganagar </t>
  </si>
  <si>
    <t xml:space="preserve">Ramee Strand inn</t>
  </si>
  <si>
    <t xml:space="preserve">Shravanthi Sarovar Portico JP Nagar</t>
  </si>
  <si>
    <t xml:space="preserve">Vivanta Bengaluru, Whitefield</t>
  </si>
  <si>
    <t xml:space="preserve">Melange Astris
Like a 3</t>
  </si>
  <si>
    <t xml:space="preserve">Octave Church Inn</t>
  </si>
  <si>
    <t xml:space="preserve">Church Street </t>
  </si>
  <si>
    <t xml:space="preserve">Mastiff Infantry Bengaluru</t>
  </si>
  <si>
    <t xml:space="preserve">OYO Hotels in Bangalore (from uploaded OYO_HOTEL_ROOMS.csv) - Night-wise Fare (1-20 Nights)</t>
  </si>
  <si>
    <t xml:space="preserve">155 Bangalore-location rows filtered from the uploaded OYO dataset (791 rows total, mostly other cities).</t>
  </si>
  <si>
    <t xml:space="preserve">Discount</t>
  </si>
  <si>
    <t xml:space="preserve">Rating (reviews)</t>
  </si>
  <si>
    <t xml:space="preserve">SPOT ON Yatra Inn Near Lalbagh Botanical Garden</t>
  </si>
  <si>
    <t xml:space="preserve">Lalbagh, Bangalore</t>
  </si>
  <si>
    <t xml:space="preserve">64%</t>
  </si>
  <si>
    <t xml:space="preserve">OYO Townhouse 180 Jayanagar </t>
  </si>
  <si>
    <t xml:space="preserve">Near Sagar Hospital, Tilak Nagar, Bangalore</t>
  </si>
  <si>
    <t xml:space="preserve">67%</t>
  </si>
  <si>
    <t xml:space="preserve">Super OYO Townhouse OAK Spruce Hotels A2 Indiranagar</t>
  </si>
  <si>
    <t xml:space="preserve">India, Bangalore</t>
  </si>
  <si>
    <t xml:space="preserve">75%</t>
  </si>
  <si>
    <t xml:space="preserve">Super OYO Collection O Sabharwal Residency Near Lalbagh Botanical Garden</t>
  </si>
  <si>
    <t xml:space="preserve">Opposite Shanthinagar, Bangalore</t>
  </si>
  <si>
    <t xml:space="preserve">65%</t>
  </si>
  <si>
    <t xml:space="preserve">OYO Townhouse Chic 364 Richmond Road Near Cubbon Park</t>
  </si>
  <si>
    <t xml:space="preserve">Near Baldwin Women College, Richmond Town, Bengaluru</t>
  </si>
  <si>
    <t xml:space="preserve">OYO Hotel Townhall</t>
  </si>
  <si>
    <t xml:space="preserve">Near Dhanlakshmi Bank, JC Road, Bangalore</t>
  </si>
  <si>
    <t xml:space="preserve">Collection O Hotel Hemadri Residency</t>
  </si>
  <si>
    <t xml:space="preserve">Opp Saraswati Kalyana Mantapa, Bangalore</t>
  </si>
  <si>
    <t xml:space="preserve">Super OYO Capital O Boulevard Elite Madiwala Near Ragigudda Sri Prasanna Anjanayeswamy Temple</t>
  </si>
  <si>
    <t xml:space="preserve">B T M Layout, Bangalore</t>
  </si>
  <si>
    <t xml:space="preserve">66%</t>
  </si>
  <si>
    <t xml:space="preserve">OYO Sai Ram Residency</t>
  </si>
  <si>
    <t xml:space="preserve">Cubbonpet Main Road, Bangalore</t>
  </si>
  <si>
    <t xml:space="preserve">Super OYO  Design Oyo Townhouse OAK Clove Boutique Hotel Rajaji Nagar</t>
  </si>
  <si>
    <t xml:space="preserve">4th Block, Rajaji Nagar, Bangalore</t>
  </si>
  <si>
    <t xml:space="preserve">SPOT ON Hotel Relax Inn Near Banashankari Metro Station</t>
  </si>
  <si>
    <t xml:space="preserve">Banashankari 3rd Stage, Bangalore</t>
  </si>
  <si>
    <t xml:space="preserve">77%</t>
  </si>
  <si>
    <t xml:space="preserve">Super OYO Townhouse 385 Navya International Ramamurthy Nagar Near Phoenix Marketcity</t>
  </si>
  <si>
    <t xml:space="preserve">Near Rammamurthynagar Police Station, Bangalore</t>
  </si>
  <si>
    <t xml:space="preserve">OYO Sree Balaji Residency</t>
  </si>
  <si>
    <t xml:space="preserve">Agrahara Dasarahalli, Rajaji Nagar, Bangalore</t>
  </si>
  <si>
    <t xml:space="preserve">Super OYO Townhouse 238 Tierra Woods Near Halasuru Metro Station</t>
  </si>
  <si>
    <t xml:space="preserve">Halasuru, Bangalore</t>
  </si>
  <si>
    <t xml:space="preserve">Capital O Champion Lotus Near Mantri Square Mall</t>
  </si>
  <si>
    <t xml:space="preserve">Near IIFT, Vijayanagar, Bangalore</t>
  </si>
  <si>
    <t xml:space="preserve">Capital O Premium Hotel Victoria Heights Near Sri Someshwara Swami Temple</t>
  </si>
  <si>
    <t xml:space="preserve">Near St.Philomena's Hospital, Xavier Layout, Bangalore</t>
  </si>
  <si>
    <t xml:space="preserve">Townhouse OAK SRK White Inn Near Ragigudda Sri Prasanna Anjaneyaswamy Temple</t>
  </si>
  <si>
    <t xml:space="preserve">Koramangala, Bangalore</t>
  </si>
  <si>
    <t xml:space="preserve">OYO Hotel Silver House Near Mantri Square Mall</t>
  </si>
  <si>
    <t xml:space="preserve">Arghar Dasrahalli Near Madhu Hospital Opp Maharaja Tent House Reliance Smart Building Magadi Main Road, Bangalore</t>
  </si>
  <si>
    <t xml:space="preserve">Varcity Emerald Near Ragigudda Sri Prasanna Anjaneyaswamy Temple</t>
  </si>
  <si>
    <t xml:space="preserve">Near KEB Colony, BTM Layout 1, Bangalore</t>
  </si>
  <si>
    <t xml:space="preserve">Collection O Hotel Palm Tree</t>
  </si>
  <si>
    <t xml:space="preserve">Near Halasuru Metro Station, Ulsoor, Bangalore</t>
  </si>
  <si>
    <t xml:space="preserve">Collection O Hotel Tiara Near Christ university</t>
  </si>
  <si>
    <t xml:space="preserve">Tavarekere Main Rd, Bangalore</t>
  </si>
  <si>
    <t xml:space="preserve">Super OYO Nar Comforts Near Majestic &amp; near KSR Railway station</t>
  </si>
  <si>
    <t xml:space="preserve">NAR Comforts,13, G.K temple street, opp. Vijayalaxmi theater, Chickpet, Bangalore</t>
  </si>
  <si>
    <t xml:space="preserve">Flagship Hotel Royal Comfort Near Cubbon Park</t>
  </si>
  <si>
    <t xml:space="preserve">Gandhinagar, Bangalore</t>
  </si>
  <si>
    <t xml:space="preserve">Super OYO Capital O Choice Regal Suites Near Ragigudda Sri Prasanna Anjanayeswamy Temple</t>
  </si>
  <si>
    <t xml:space="preserve">Centrally Located, Near Sagar Hospital, Hombegowda Nagar, Bangalore</t>
  </si>
  <si>
    <t xml:space="preserve">OYO Hotel Blue Inn</t>
  </si>
  <si>
    <t xml:space="preserve">Near Bilal masjid, Gurappanapalya, Bangalore</t>
  </si>
  <si>
    <t xml:space="preserve">Super OYO Flagship Vsv Avenue Hennur Near Sri Amruth Chithra Mandira</t>
  </si>
  <si>
    <t xml:space="preserve"> landmark Krishna Medical Store) Oposite Krishna Leela Grand Hotel, Bangalore</t>
  </si>
  <si>
    <t xml:space="preserve">OYO Townhouse 76427 Hotel Skyline Near Banashankari Metro Station</t>
  </si>
  <si>
    <t xml:space="preserve">B S K 2nd Stage, Bangalore</t>
  </si>
  <si>
    <t xml:space="preserve">OYO Flagship HOTEL SKYSPACE Near Hare Krishna Hill</t>
  </si>
  <si>
    <t xml:space="preserve">Yeswantpur Near Railway Station, Bangalore</t>
  </si>
  <si>
    <t xml:space="preserve">SPOT ON 810480 Canton Lodging And Boarding</t>
  </si>
  <si>
    <t xml:space="preserve">Karnataka, Bangalore</t>
  </si>
  <si>
    <t xml:space="preserve">Collection O Onyx International Near Ragigudda Sri Prasanna Anjaneyaswamy Temple</t>
  </si>
  <si>
    <t xml:space="preserve">Karnatakanull, Bangalore</t>
  </si>
  <si>
    <t xml:space="preserve">OYO Mn Residency Near Ragigudda Sri Prasanna Anjaneyaswamy Temple</t>
  </si>
  <si>
    <t xml:space="preserve">Madiwala,  South Zone, Bengaluru, Bangalore South, Bangalore Urban, Karnataka, - 560034, India Bangalore.</t>
  </si>
  <si>
    <t xml:space="preserve">OYO Home Leva Homes Near Baiyappanahalli Metro Station</t>
  </si>
  <si>
    <t xml:space="preserve">Mahadevapura Zone, Bangalore</t>
  </si>
  <si>
    <t xml:space="preserve">Super OYO Capital O Chetana Inn</t>
  </si>
  <si>
    <t xml:space="preserve">Centrally Located, Near Shanti Niketan School, Kodigehalli, Bangalore</t>
  </si>
  <si>
    <t xml:space="preserve">Super OYO Capital O Blooms Stay Inn Near Snow City</t>
  </si>
  <si>
    <t xml:space="preserve">Bangalore Urban, Bangalore</t>
  </si>
  <si>
    <t xml:space="preserve">Super OYO Townhouse 273 Hosur Main Road Bommanahalli Near Gopalan Innovation Mall</t>
  </si>
  <si>
    <t xml:space="preserve">Near krishna Theature Bommanahalli, Hosur main road, Bangalore</t>
  </si>
  <si>
    <t xml:space="preserve">OYO Nra Residency Near Rajarajeshwari Nagar Metro Station</t>
  </si>
  <si>
    <t xml:space="preserve">Rajarajeshwari Nagar, Bangalore</t>
  </si>
  <si>
    <t xml:space="preserve">68%</t>
  </si>
  <si>
    <t xml:space="preserve">Collection O Nandi Comforts</t>
  </si>
  <si>
    <t xml:space="preserve">Yeshwantpur, Bangalore</t>
  </si>
  <si>
    <t xml:space="preserve">70%</t>
  </si>
  <si>
    <t xml:space="preserve">Capital O Hotel Shanti Nivas Near Hare Krishna Hill</t>
  </si>
  <si>
    <t xml:space="preserve">Near Yeshwanthpur , Sri Raghavendra Layout, Bangalore</t>
  </si>
  <si>
    <t xml:space="preserve">Capital O Prime Residency</t>
  </si>
  <si>
    <t xml:space="preserve">Near Perseverance HBR, Saint Thomas Town, Bangalore</t>
  </si>
  <si>
    <t xml:space="preserve">Capital O Safari Rooms Near Snow City</t>
  </si>
  <si>
    <t xml:space="preserve">India Bangalore Karnatakaindia, Bangalore</t>
  </si>
  <si>
    <t xml:space="preserve">Super OYO Capital O Chetana Clove</t>
  </si>
  <si>
    <t xml:space="preserve">Near Shanti Niketan School, Maruthinagar, Bangalore</t>
  </si>
  <si>
    <t xml:space="preserve">Super OYO Collection O 85404 Valleyton Park</t>
  </si>
  <si>
    <t xml:space="preserve">Near Manyata Tech Park,HBR Layout,Outer Ring Road,Bangalore</t>
  </si>
  <si>
    <t xml:space="preserve">SPOT ON Janapriya Lodge Near Hare Krishna Hill</t>
  </si>
  <si>
    <t xml:space="preserve">Santa Maria Near Indiranagar Metro Station</t>
  </si>
  <si>
    <t xml:space="preserve">Jeevan Bhima Nagar, Bangalore</t>
  </si>
  <si>
    <t xml:space="preserve">Super OYO Townhouse 149 Siri Residency</t>
  </si>
  <si>
    <t xml:space="preserve">Bhuvaneswari Nagar, Bangalore</t>
  </si>
  <si>
    <t xml:space="preserve">Super OYO Capital O High end Withinn Hotel Near Hare Krishna Hill</t>
  </si>
  <si>
    <t xml:space="preserve">Near NIAS, Mathikere Extension, Bangalore</t>
  </si>
  <si>
    <t xml:space="preserve">Collection O Royal Elevar</t>
  </si>
  <si>
    <t xml:space="preserve">Dasarahalli, Bangalore</t>
  </si>
  <si>
    <t xml:space="preserve">OYO The Royal International Hotel</t>
  </si>
  <si>
    <t xml:space="preserve">Near Robert Bosch Company, Mangammanapalya, Bangalore</t>
  </si>
  <si>
    <t xml:space="preserve">SPOT ON 76191 Sahara Lodge</t>
  </si>
  <si>
    <t xml:space="preserve">Yeshwanthapura, Bangalore</t>
  </si>
  <si>
    <t xml:space="preserve">OYO Hotel Golden Arch Near Palace Ground</t>
  </si>
  <si>
    <t xml:space="preserve">Near Vijayanagar police station, MC Layout, Bangalore</t>
  </si>
  <si>
    <t xml:space="preserve">Collection O Hotel Supreme Suites Near Sri Amruth Chithra Mandira</t>
  </si>
  <si>
    <t xml:space="preserve">14/15 14 And 15 L V Complex Munireddy Layout Horamavu Banaswadi, Bangalore</t>
  </si>
  <si>
    <t xml:space="preserve">Collection O Hotel Status Executive Room's</t>
  </si>
  <si>
    <t xml:space="preserve">Near Old Airport Road, Bangalore</t>
  </si>
  <si>
    <t xml:space="preserve">69%</t>
  </si>
  <si>
    <t xml:space="preserve">Super OYO Collection O Ctc Gardenia Residency Near Lalbagh Botanical Garden</t>
  </si>
  <si>
    <t xml:space="preserve">Opp Urvashi Theatre, Bangalore</t>
  </si>
  <si>
    <t xml:space="preserve">SPOT ON Srinivasa Boarding And Lodging Near Vijayanagar Metro Station</t>
  </si>
  <si>
    <t xml:space="preserve">Near N R Colony, Sajjepalya, Bangalore</t>
  </si>
  <si>
    <t xml:space="preserve">OYO Flagship 37297 N R Deluxe</t>
  </si>
  <si>
    <t xml:space="preserve">Near Prashant Hospital, Bangalore</t>
  </si>
  <si>
    <t xml:space="preserve">85%</t>
  </si>
  <si>
    <t xml:space="preserve">Capital O N R Comforts Near Nexus Mall Koramangala</t>
  </si>
  <si>
    <t xml:space="preserve">Capital O Royal Manyata</t>
  </si>
  <si>
    <t xml:space="preserve">Gate Number 4, Bangalore</t>
  </si>
  <si>
    <t xml:space="preserve">Super OYO Townhouse 490 Indiranagar Extn</t>
  </si>
  <si>
    <t xml:space="preserve">Bangalore, Bangalore</t>
  </si>
  <si>
    <t xml:space="preserve">Capital O Elite Stay Jp Nagar Near Ragigudda Sri Prasanna Anjaneyaswamy Temple</t>
  </si>
  <si>
    <t xml:space="preserve">6th Phase, Bangalore</t>
  </si>
  <si>
    <t xml:space="preserve">Flagship Sai Vishram</t>
  </si>
  <si>
    <t xml:space="preserve">26/1 sheshadri Road  Anandrao Circle Gandhi Nagar, Bangalore</t>
  </si>
  <si>
    <t xml:space="preserve">Super OYO Flagship Blooms Residency Near Baiyappanahalli Metro Station</t>
  </si>
  <si>
    <t xml:space="preserve">Bangalore East, Bangalore</t>
  </si>
  <si>
    <t xml:space="preserve">OYO Royal Grand Residency Near Lalbagh Botanical Garden</t>
  </si>
  <si>
    <t xml:space="preserve">Bangalore Karnataka, Bangalore</t>
  </si>
  <si>
    <t xml:space="preserve">OYO Flagship Varcity Plaza Near Ragigudda Sri Prasanna Anjaneyaswamy Temple</t>
  </si>
  <si>
    <t xml:space="preserve">Near Cross Road, Maruti Nagar, Bangalore</t>
  </si>
  <si>
    <t xml:space="preserve">OYO 18544 Amm Residency</t>
  </si>
  <si>
    <t xml:space="preserve">Mavalli, Bengaluru</t>
  </si>
  <si>
    <t xml:space="preserve">Townhouse 038 Global Wings Hotels Near Sri Amruth Chithra Mandira</t>
  </si>
  <si>
    <t xml:space="preserve">Kammanahalli, Bangalore</t>
  </si>
  <si>
    <t xml:space="preserve">Flagship Gn Nelli Rooms Near CMR University</t>
  </si>
  <si>
    <t xml:space="preserve">Bengalore-43, Bangalore</t>
  </si>
  <si>
    <t xml:space="preserve">Townhouse OAK Hotel Prime</t>
  </si>
  <si>
    <t xml:space="preserve">Near Karnataka Bank, Babusapalya Main Road, Bangalore</t>
  </si>
  <si>
    <t xml:space="preserve">OYO Hotel Fiesta Grand</t>
  </si>
  <si>
    <t xml:space="preserve">Near Mariyappa Road, Jayanagar Ward, Bangalore</t>
  </si>
  <si>
    <t xml:space="preserve">Collection O Tierra Woods</t>
  </si>
  <si>
    <t xml:space="preserve">Bangalore , Bangalore</t>
  </si>
  <si>
    <t xml:space="preserve">OYO Flagship 79381 DM Residency Near Goraguntepalya Metro Station</t>
  </si>
  <si>
    <t xml:space="preserve">Rajarajeshwari Nagar Zone, Bangalore</t>
  </si>
  <si>
    <t xml:space="preserve">OYO Flagship 811000 Atithi Comforts</t>
  </si>
  <si>
    <t xml:space="preserve">OYO Royal Inn Near Iskcon Temple Bangalore</t>
  </si>
  <si>
    <t xml:space="preserve">Near 14th Main Road, Rajaji Nagar, Bangalore</t>
  </si>
  <si>
    <t xml:space="preserve">OYO Flagship 810144 Sunder Nivas</t>
  </si>
  <si>
    <t xml:space="preserve">Super OYO Capital O King Suites -hennur Near D Mart</t>
  </si>
  <si>
    <t xml:space="preserve">East Zone, Bangalore</t>
  </si>
  <si>
    <t xml:space="preserve">Super OYO Capital O Savi International Near Bengaluru Palace</t>
  </si>
  <si>
    <t xml:space="preserve">Near Mantri Square Mall, Sheshadripuram, Bangalore</t>
  </si>
  <si>
    <t xml:space="preserve">OYO Home Exotic Stay Bsk 3rd Stage</t>
  </si>
  <si>
    <t xml:space="preserve">Katriguppe, Bangalore</t>
  </si>
  <si>
    <t xml:space="preserve">Flagship Pride Inn</t>
  </si>
  <si>
    <t xml:space="preserve">14 Cross Hosur Main Road, Bangalore</t>
  </si>
  <si>
    <t xml:space="preserve">OYO Hotel Turista</t>
  </si>
  <si>
    <t xml:space="preserve">Near Central Silk board, BTM Layout, Bangalore</t>
  </si>
  <si>
    <t xml:space="preserve">Super OYO Flagship Majestic Near Lalbagh Botanical Garden</t>
  </si>
  <si>
    <t xml:space="preserve">Near Majestic Railway Station, Akkipete, Bangalore</t>
  </si>
  <si>
    <t xml:space="preserve">Capital O Gn Suites Near OM SHAKTHI TEMPLE</t>
  </si>
  <si>
    <t xml:space="preserve">Near Sub Registrar ice, Banaswadi, Bangalore</t>
  </si>
  <si>
    <t xml:space="preserve">OYO Townhouse 093 Ramamurthy Nagar Near Baiyappanahalli Metro Station</t>
  </si>
  <si>
    <t xml:space="preserve">Near Ramamurthy Nagar Signal, Bangalore,Karnataka</t>
  </si>
  <si>
    <t xml:space="preserve">Collection O 812451 The Grand Budget Hotel</t>
  </si>
  <si>
    <t xml:space="preserve">Karnataka , Bangalore</t>
  </si>
  <si>
    <t xml:space="preserve">Flagship My Own Nest Near Ragigudda Sri Prasanna Anjaneyaswamy Temple</t>
  </si>
  <si>
    <t xml:space="preserve">Near Srinivasa Temple, Bangalore</t>
  </si>
  <si>
    <t xml:space="preserve">OYO Flagship 5590 Ujwal Residency</t>
  </si>
  <si>
    <t xml:space="preserve">Near Indian Oil Petrol Bunk, Divanarapalya, Bangalore</t>
  </si>
  <si>
    <t xml:space="preserve">OYO Flagship 810304 New Pavithra Paradise</t>
  </si>
  <si>
    <t xml:space="preserve">No 462 3rd Phase 3rd Block Havanur Circle Basaveshwaranagar Bangalore, Bangalore</t>
  </si>
  <si>
    <t xml:space="preserve">OYO Sri Sai Guru Comforts</t>
  </si>
  <si>
    <t xml:space="preserve">Near Kodigihalli Gate, Byatarayanapura, Bangalore</t>
  </si>
  <si>
    <t xml:space="preserve">Flagship Elite Stay Near Ragigudda Sri Prasanna Anjaneyaswamy Temple</t>
  </si>
  <si>
    <t xml:space="preserve">Jp Nagar, Bangalore</t>
  </si>
  <si>
    <t xml:space="preserve">SPOT ON 810681 Vasavi Residency</t>
  </si>
  <si>
    <t xml:space="preserve">Bangalor, Bangalore</t>
  </si>
  <si>
    <t xml:space="preserve">OYO Flagship 810484 Royal Galaxy Lodge</t>
  </si>
  <si>
    <t xml:space="preserve">05th road cross Iblur bus stop. opposite Colombia asia hospital.sarjapur outer ring road. , Bangalore</t>
  </si>
  <si>
    <t xml:space="preserve">72%</t>
  </si>
  <si>
    <t xml:space="preserve">Capital O 70991 Prime Square </t>
  </si>
  <si>
    <t xml:space="preserve">Centrally Located, Near Kalyan Nagar Bus Stand, 1st stage, Bangalore</t>
  </si>
  <si>
    <t xml:space="preserve">OYO Royal Residency Near Hare Krishna Hill</t>
  </si>
  <si>
    <t xml:space="preserve">Near Taj Yeshwantpur, M S K Nagar, Bangalore</t>
  </si>
  <si>
    <t xml:space="preserve">Flagship S M Residency Near Mysore Road Metro Station</t>
  </si>
  <si>
    <t xml:space="preserve">Nagarbhavi, Bangalore</t>
  </si>
  <si>
    <t xml:space="preserve">Flagship Sree Nandanam Residency</t>
  </si>
  <si>
    <t xml:space="preserve">Bengaluru, Bangalore</t>
  </si>
  <si>
    <t xml:space="preserve">OYO Townhouse 076 Hebbal</t>
  </si>
  <si>
    <t xml:space="preserve">Super OYO Exotica Hotels Near Ragigudda Sri Prasanna Anjaneyaswamy Temple</t>
  </si>
  <si>
    <t xml:space="preserve">Near Jayadeva Flyover, BTM Layout, Bangalore</t>
  </si>
  <si>
    <t xml:space="preserve">OYO Flagship V R Residency Near Sri Amruth Chithra Mandira</t>
  </si>
  <si>
    <t xml:space="preserve">Centrally Located, Near 4th block, HBR Layout, Bangalore</t>
  </si>
  <si>
    <t xml:space="preserve">Collection O 62387 Emara Grand Hotel</t>
  </si>
  <si>
    <t xml:space="preserve">H S R Layout, Bangalore</t>
  </si>
  <si>
    <t xml:space="preserve">OYO Flagship 80878H Century Gardens</t>
  </si>
  <si>
    <t xml:space="preserve">Hotel Telehaus International Near Lalbagh Botanical Garden</t>
  </si>
  <si>
    <t xml:space="preserve">Near Karnataka Bank, Shanti Nagar, Bangalore</t>
  </si>
  <si>
    <t xml:space="preserve">OYO Townhouse 078 DODDA BANASWADI</t>
  </si>
  <si>
    <t xml:space="preserve">Near Udupi Upachar, Lakshmamma Layout, Bangalore</t>
  </si>
  <si>
    <t xml:space="preserve">Flagship Hotel Amster Inn</t>
  </si>
  <si>
    <t xml:space="preserve">Near Mysore RD. Metro Station, FCI Layout, Bangalore</t>
  </si>
  <si>
    <t xml:space="preserve">Collection O 812391 Sri Skanda Inn</t>
  </si>
  <si>
    <t xml:space="preserve">Venugopal Reddy Layout, Bangalore</t>
  </si>
  <si>
    <t xml:space="preserve">Collection O B Six Hotel</t>
  </si>
  <si>
    <t xml:space="preserve">Kalasipalyam Main Road, Bangalore</t>
  </si>
  <si>
    <t xml:space="preserve">OYO Flagship 810923 Hotel Shiva International</t>
  </si>
  <si>
    <t xml:space="preserve">Collection O Fortune Rooms</t>
  </si>
  <si>
    <t xml:space="preserve">Collection O Ira International Boutique Hotel</t>
  </si>
  <si>
    <t xml:space="preserve">OYO Flagship 81138 Gm royals</t>
  </si>
  <si>
    <t xml:space="preserve">Collection O Metro O Comforts</t>
  </si>
  <si>
    <t xml:space="preserve">JP Nagar Metro Station, JP Nagar, Bangalore</t>
  </si>
  <si>
    <t xml:space="preserve">OYO Flagship 810805  My Own Nest II Ramamurthy Nagar</t>
  </si>
  <si>
    <t xml:space="preserve">Devki Apparao Layout, Bangalore</t>
  </si>
  <si>
    <t xml:space="preserve">Palette - Hotel Metro View Inn</t>
  </si>
  <si>
    <t xml:space="preserve">47%</t>
  </si>
  <si>
    <t xml:space="preserve">OYO Flagship 44601 Cloud Stay</t>
  </si>
  <si>
    <t xml:space="preserve">Near Sai Baba Temple, Kudlu Gate, Bangalore</t>
  </si>
  <si>
    <t xml:space="preserve">Collection O 809961 New Royal Serenity Inn</t>
  </si>
  <si>
    <t xml:space="preserve">India , Bangalore</t>
  </si>
  <si>
    <t xml:space="preserve">Super OYO Flagship Archana Inn Near Lalbagh Botanical Garden</t>
  </si>
  <si>
    <t xml:space="preserve">Near Minerva Circle, JC Road, Bangalore</t>
  </si>
  <si>
    <t xml:space="preserve">Collection O Premium Eden Au Lac Near Sri Someshwara Swami Temple</t>
  </si>
  <si>
    <t xml:space="preserve">Near Indiranagar Police Station, Indiranagar, Bangalore</t>
  </si>
  <si>
    <t xml:space="preserve">OYO Flagship 92604 Sp Residency Near Ragigudda Sri Prasanna Anjaneyaswamy Temple</t>
  </si>
  <si>
    <t xml:space="preserve">Btm 2nd Stagenull, Bangalore</t>
  </si>
  <si>
    <t xml:space="preserve">73%</t>
  </si>
  <si>
    <t xml:space="preserve">OYO Flagship NR Residency Near Nexus Mall Koramangala</t>
  </si>
  <si>
    <t xml:space="preserve">Near Teacher's colony Park, Jakkasandra, Bangalore</t>
  </si>
  <si>
    <t xml:space="preserve">76%</t>
  </si>
  <si>
    <t xml:space="preserve">OYO Flagship 7558 Galaxy Inn</t>
  </si>
  <si>
    <t xml:space="preserve">Shivaji Nagar, Bangalore</t>
  </si>
  <si>
    <t xml:space="preserve">OYO Nr Royal Near Nexus Mall Koramangala</t>
  </si>
  <si>
    <t xml:space="preserve">Sector 6, HSR Layout Ward, Bommanahalli Zone, Bengaluru, Bangalore South, Bangalore Urban, Karnataka</t>
  </si>
  <si>
    <t xml:space="preserve">OYO Flagship 13043 SREE SAI SUITES</t>
  </si>
  <si>
    <t xml:space="preserve">Near SBI Bank, RT Nagar Main Road, Bangalore</t>
  </si>
  <si>
    <t xml:space="preserve">Super OYO Flagship Olivia Comforts Near Nexus Mall Koramangala</t>
  </si>
  <si>
    <t xml:space="preserve">Near Eat Street, Kormangala, Bangalore</t>
  </si>
  <si>
    <t xml:space="preserve">Super OYO Collection O Compact Green View Near Nexus Mall Koramangala</t>
  </si>
  <si>
    <t xml:space="preserve">Near Ejipura Bus stand, Ashwini Layout, Bangalore</t>
  </si>
  <si>
    <t xml:space="preserve">71%</t>
  </si>
  <si>
    <t xml:space="preserve">Super OYO Flagship Varcity Phi Premium Pavilion Near Ragigudda Sri Prasanna Anjanayeswamy Temple</t>
  </si>
  <si>
    <t xml:space="preserve">Flagship White Fort Near Lalbagh Botanical Garden</t>
  </si>
  <si>
    <t xml:space="preserve">Dispensary Rd, Kalasipalya,Bangalore</t>
  </si>
  <si>
    <t xml:space="preserve">Capital O Elegant Amethyst Business Hotel Near Ragigudda Sri Prasanna Anjaneyaswamy Temple</t>
  </si>
  <si>
    <t xml:space="preserve">5th Block, Jayanagar, Bangalore</t>
  </si>
  <si>
    <t xml:space="preserve">Super OYO Hotel Subha Residency Near Cubbon Park</t>
  </si>
  <si>
    <t xml:space="preserve">Majestic, Bangalore</t>
  </si>
  <si>
    <t xml:space="preserve">Capital O Victorian Comforts Near Sri Someshwara Swami Temple</t>
  </si>
  <si>
    <t xml:space="preserve">Near Adams Creation, Victoria Layout, Bangalore</t>
  </si>
  <si>
    <t xml:space="preserve">Flagship Hotel Gurudev Residency Near Cubbon Park</t>
  </si>
  <si>
    <t xml:space="preserve">Gandhi Nagar, Bangalore</t>
  </si>
  <si>
    <t xml:space="preserve">SPOT ON Hotel Sri Thirumala Lodge</t>
  </si>
  <si>
    <t xml:space="preserve">Opp BHEL, Bangalore</t>
  </si>
  <si>
    <t xml:space="preserve">Collection O Naidu Palace Near Iskcon Temple Bangalore</t>
  </si>
  <si>
    <t xml:space="preserve">Near Dhobi Ghat junction, Rajajinagar, Bangalore</t>
  </si>
  <si>
    <t xml:space="preserve">Super OYO Townhouse 258 Spruce Hotels Bellandur</t>
  </si>
  <si>
    <t xml:space="preserve">Bellandur, Bangalore</t>
  </si>
  <si>
    <t xml:space="preserve">Collection O 808132 Status Suites</t>
  </si>
  <si>
    <t xml:space="preserve">OYO Exotic Stay Bg Road</t>
  </si>
  <si>
    <t xml:space="preserve">80%</t>
  </si>
  <si>
    <t xml:space="preserve">SPOT ON A Class Suites Near Hare Krishna Hill</t>
  </si>
  <si>
    <t xml:space="preserve">OYO Varcity Park Near Ragigudda Sri Prasanna Anjaneyaswamy Temple</t>
  </si>
  <si>
    <t xml:space="preserve">Near SV Hospitals, Madiwala, Bangalore</t>
  </si>
  <si>
    <t xml:space="preserve">Flagship Aayush Corporate Stays Near Nexus Mall Koramangala</t>
  </si>
  <si>
    <t xml:space="preserve">Near Maharaja Signal, Kormangala, Bangalore</t>
  </si>
  <si>
    <t xml:space="preserve">OYO Shree Mookambika Guest House Near Sri Someshwara Swami Temple</t>
  </si>
  <si>
    <t xml:space="preserve">Kormangla, Bangalore</t>
  </si>
  <si>
    <t xml:space="preserve">OYO Corner Golf View Near Sri Someshwara Swami Temple</t>
  </si>
  <si>
    <t xml:space="preserve">Domlur, Bangalore</t>
  </si>
  <si>
    <t xml:space="preserve">74%</t>
  </si>
  <si>
    <t xml:space="preserve">Home Shiva Shakthi Inn Near Ragigudda Sri Prasanna Anjaneyaswamy Temple</t>
  </si>
  <si>
    <t xml:space="preserve">J P Nagar, Bangalore</t>
  </si>
  <si>
    <t xml:space="preserve">Super OYO Hotel Resida Elite Service Apartments Near Sri Someshwara Swami Temple</t>
  </si>
  <si>
    <t xml:space="preserve">Near Domlur Bridge, Indiranagar, Bangalore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</si>
</sst>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₹#,##0"/>
    <numFmt numFmtId="166" formatCode="\₹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8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45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1" min="2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15" hidden="false" customHeight="true" outlineLevel="0" collapsed="false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5" t="n">
        <v>1800</v>
      </c>
      <c r="G5" s="1" t="s">
        <v>14</v>
      </c>
    </row>
    <row r="6" customFormat="false" ht="15" hidden="false" customHeight="true" outlineLevel="0" collapsed="false">
      <c r="A6" s="1" t="s">
        <v>15</v>
      </c>
      <c r="B6" s="1" t="s">
        <v>10</v>
      </c>
      <c r="C6" s="1" t="s">
        <v>16</v>
      </c>
      <c r="D6" s="1" t="s">
        <v>17</v>
      </c>
      <c r="E6" s="1" t="s">
        <v>18</v>
      </c>
      <c r="F6" s="5" t="n">
        <v>1200</v>
      </c>
      <c r="G6" s="1" t="s">
        <v>19</v>
      </c>
    </row>
    <row r="7" customFormat="false" ht="15" hidden="false" customHeight="true" outlineLevel="0" collapsed="false">
      <c r="A7" s="1" t="s">
        <v>20</v>
      </c>
      <c r="B7" s="1" t="s">
        <v>10</v>
      </c>
      <c r="C7" s="1" t="s">
        <v>11</v>
      </c>
      <c r="D7" s="1" t="s">
        <v>21</v>
      </c>
      <c r="E7" s="1" t="s">
        <v>18</v>
      </c>
      <c r="F7" s="5" t="n">
        <v>1600</v>
      </c>
      <c r="G7" s="1" t="s">
        <v>19</v>
      </c>
    </row>
    <row r="8" customFormat="false" ht="15" hidden="false" customHeight="true" outlineLevel="0" collapsed="false">
      <c r="A8" s="1" t="s">
        <v>22</v>
      </c>
      <c r="B8" s="1" t="s">
        <v>23</v>
      </c>
      <c r="C8" s="1" t="s">
        <v>24</v>
      </c>
      <c r="D8" s="1" t="s">
        <v>25</v>
      </c>
      <c r="E8" s="1" t="s">
        <v>13</v>
      </c>
      <c r="F8" s="5" t="n">
        <v>2200</v>
      </c>
      <c r="G8" s="1" t="s">
        <v>19</v>
      </c>
    </row>
    <row r="9" customFormat="false" ht="15" hidden="false" customHeight="true" outlineLevel="0" collapsed="false">
      <c r="A9" s="1" t="s">
        <v>26</v>
      </c>
      <c r="B9" s="1" t="s">
        <v>27</v>
      </c>
      <c r="C9" s="1" t="s">
        <v>28</v>
      </c>
      <c r="D9" s="1" t="s">
        <v>29</v>
      </c>
      <c r="E9" s="1" t="s">
        <v>18</v>
      </c>
      <c r="F9" s="5" t="n">
        <v>3200</v>
      </c>
      <c r="G9" s="1" t="s">
        <v>30</v>
      </c>
    </row>
    <row r="10" customFormat="false" ht="15" hidden="false" customHeight="true" outlineLevel="0" collapsed="false">
      <c r="A10" s="1" t="s">
        <v>31</v>
      </c>
      <c r="B10" s="1" t="s">
        <v>27</v>
      </c>
      <c r="C10" s="1" t="s">
        <v>28</v>
      </c>
      <c r="D10" s="1" t="s">
        <v>32</v>
      </c>
      <c r="E10" s="1" t="s">
        <v>18</v>
      </c>
      <c r="F10" s="5" t="n">
        <v>3500</v>
      </c>
      <c r="G10" s="1" t="s">
        <v>30</v>
      </c>
    </row>
    <row r="11" customFormat="false" ht="15" hidden="false" customHeight="true" outlineLevel="0" collapsed="false">
      <c r="A11" s="1" t="s">
        <v>33</v>
      </c>
      <c r="B11" s="1" t="s">
        <v>27</v>
      </c>
      <c r="C11" s="1" t="s">
        <v>28</v>
      </c>
      <c r="D11" s="1" t="s">
        <v>34</v>
      </c>
      <c r="E11" s="1" t="s">
        <v>18</v>
      </c>
      <c r="F11" s="5" t="n">
        <v>4200</v>
      </c>
      <c r="G11" s="1" t="s">
        <v>30</v>
      </c>
    </row>
    <row r="12" customFormat="false" ht="15" hidden="false" customHeight="true" outlineLevel="0" collapsed="false">
      <c r="A12" s="1" t="s">
        <v>35</v>
      </c>
      <c r="B12" s="1" t="s">
        <v>27</v>
      </c>
      <c r="C12" s="1" t="s">
        <v>28</v>
      </c>
      <c r="D12" s="1" t="s">
        <v>36</v>
      </c>
      <c r="E12" s="1" t="s">
        <v>18</v>
      </c>
      <c r="F12" s="5" t="n">
        <v>3800</v>
      </c>
      <c r="G12" s="1" t="s">
        <v>30</v>
      </c>
    </row>
    <row r="13" customFormat="false" ht="15" hidden="false" customHeight="true" outlineLevel="0" collapsed="false">
      <c r="A13" s="1" t="s">
        <v>37</v>
      </c>
      <c r="B13" s="1" t="s">
        <v>27</v>
      </c>
      <c r="C13" s="1" t="s">
        <v>28</v>
      </c>
      <c r="D13" s="1" t="s">
        <v>32</v>
      </c>
      <c r="E13" s="1" t="s">
        <v>18</v>
      </c>
      <c r="F13" s="5" t="n">
        <v>4500</v>
      </c>
      <c r="G13" s="1" t="s">
        <v>38</v>
      </c>
    </row>
    <row r="14" customFormat="false" ht="15" hidden="false" customHeight="true" outlineLevel="0" collapsed="false">
      <c r="A14" s="1" t="s">
        <v>39</v>
      </c>
      <c r="B14" s="1" t="s">
        <v>27</v>
      </c>
      <c r="C14" s="1" t="s">
        <v>40</v>
      </c>
      <c r="D14" s="1" t="s">
        <v>41</v>
      </c>
      <c r="E14" s="1" t="s">
        <v>13</v>
      </c>
      <c r="F14" s="5" t="n">
        <v>7000</v>
      </c>
      <c r="G14" s="1" t="s">
        <v>42</v>
      </c>
    </row>
    <row r="15" customFormat="false" ht="15" hidden="false" customHeight="true" outlineLevel="0" collapsed="false">
      <c r="A15" s="1" t="s">
        <v>43</v>
      </c>
      <c r="B15" s="1" t="s">
        <v>44</v>
      </c>
      <c r="C15" s="1" t="s">
        <v>28</v>
      </c>
      <c r="D15" s="1" t="s">
        <v>32</v>
      </c>
      <c r="E15" s="1" t="s">
        <v>18</v>
      </c>
      <c r="F15" s="5" t="n">
        <v>6800</v>
      </c>
      <c r="G15" s="1" t="s">
        <v>38</v>
      </c>
    </row>
    <row r="16" customFormat="false" ht="15" hidden="false" customHeight="true" outlineLevel="0" collapsed="false">
      <c r="A16" s="1" t="s">
        <v>45</v>
      </c>
      <c r="B16" s="1" t="s">
        <v>44</v>
      </c>
      <c r="C16" s="1" t="s">
        <v>46</v>
      </c>
      <c r="D16" s="1" t="s">
        <v>47</v>
      </c>
      <c r="E16" s="1" t="s">
        <v>18</v>
      </c>
      <c r="F16" s="5" t="n">
        <v>9500</v>
      </c>
      <c r="G16" s="1" t="s">
        <v>38</v>
      </c>
    </row>
    <row r="17" customFormat="false" ht="15" hidden="false" customHeight="true" outlineLevel="0" collapsed="false">
      <c r="A17" s="1" t="s">
        <v>48</v>
      </c>
      <c r="B17" s="1" t="s">
        <v>44</v>
      </c>
      <c r="C17" s="1" t="s">
        <v>49</v>
      </c>
      <c r="D17" s="1" t="s">
        <v>50</v>
      </c>
      <c r="E17" s="1" t="s">
        <v>13</v>
      </c>
      <c r="F17" s="5" t="n">
        <v>10500</v>
      </c>
      <c r="G17" s="1" t="s">
        <v>51</v>
      </c>
    </row>
    <row r="18" customFormat="false" ht="15" hidden="false" customHeight="true" outlineLevel="0" collapsed="false">
      <c r="A18" s="1" t="s">
        <v>52</v>
      </c>
      <c r="B18" s="1" t="s">
        <v>44</v>
      </c>
      <c r="C18" s="1" t="s">
        <v>28</v>
      </c>
      <c r="D18" s="1" t="s">
        <v>32</v>
      </c>
      <c r="E18" s="1" t="s">
        <v>18</v>
      </c>
      <c r="F18" s="5" t="n">
        <v>8500</v>
      </c>
      <c r="G18" s="1" t="s">
        <v>53</v>
      </c>
    </row>
    <row r="19" customFormat="false" ht="15" hidden="false" customHeight="true" outlineLevel="0" collapsed="false">
      <c r="A19" s="1" t="s">
        <v>54</v>
      </c>
      <c r="B19" s="1" t="s">
        <v>44</v>
      </c>
      <c r="C19" s="1" t="s">
        <v>55</v>
      </c>
      <c r="D19" s="1" t="s">
        <v>56</v>
      </c>
      <c r="E19" s="1" t="s">
        <v>18</v>
      </c>
      <c r="F19" s="5" t="n">
        <v>9000</v>
      </c>
      <c r="G19" s="1" t="s">
        <v>57</v>
      </c>
    </row>
    <row r="20" customFormat="false" ht="15" hidden="false" customHeight="true" outlineLevel="0" collapsed="false">
      <c r="A20" s="1" t="s">
        <v>58</v>
      </c>
      <c r="B20" s="1" t="s">
        <v>27</v>
      </c>
      <c r="C20" s="1" t="s">
        <v>59</v>
      </c>
      <c r="D20" s="1" t="s">
        <v>60</v>
      </c>
      <c r="E20" s="1" t="s">
        <v>18</v>
      </c>
      <c r="F20" s="5" t="n">
        <v>5500</v>
      </c>
      <c r="G20" s="1" t="s">
        <v>51</v>
      </c>
    </row>
    <row r="21" customFormat="false" ht="15" hidden="false" customHeight="true" outlineLevel="0" collapsed="false">
      <c r="A21" s="1" t="s">
        <v>61</v>
      </c>
      <c r="B21" s="1" t="s">
        <v>27</v>
      </c>
      <c r="C21" s="1" t="s">
        <v>59</v>
      </c>
      <c r="D21" s="1" t="s">
        <v>62</v>
      </c>
      <c r="E21" s="1" t="s">
        <v>13</v>
      </c>
      <c r="F21" s="5" t="n">
        <v>6000</v>
      </c>
      <c r="G21" s="1" t="s">
        <v>42</v>
      </c>
    </row>
    <row r="22" customFormat="false" ht="15" hidden="false" customHeight="true" outlineLevel="0" collapsed="false">
      <c r="A22" s="1" t="s">
        <v>63</v>
      </c>
      <c r="B22" s="1" t="s">
        <v>27</v>
      </c>
      <c r="C22" s="1" t="s">
        <v>64</v>
      </c>
      <c r="D22" s="1" t="s">
        <v>65</v>
      </c>
      <c r="E22" s="1" t="s">
        <v>13</v>
      </c>
      <c r="F22" s="5" t="n">
        <v>6500</v>
      </c>
      <c r="G22" s="1" t="s">
        <v>42</v>
      </c>
    </row>
    <row r="23" customFormat="false" ht="15" hidden="false" customHeight="true" outlineLevel="0" collapsed="false">
      <c r="A23" s="1" t="s">
        <v>66</v>
      </c>
      <c r="B23" s="1" t="s">
        <v>44</v>
      </c>
      <c r="C23" s="1" t="s">
        <v>67</v>
      </c>
      <c r="D23" s="1" t="s">
        <v>68</v>
      </c>
      <c r="E23" s="1" t="s">
        <v>13</v>
      </c>
      <c r="F23" s="5" t="n">
        <v>11000</v>
      </c>
      <c r="G23" s="1" t="s">
        <v>69</v>
      </c>
    </row>
    <row r="24" customFormat="false" ht="15" hidden="false" customHeight="true" outlineLevel="0" collapsed="false">
      <c r="A24" s="1" t="s">
        <v>70</v>
      </c>
      <c r="B24" s="1" t="s">
        <v>44</v>
      </c>
      <c r="C24" s="1" t="s">
        <v>40</v>
      </c>
      <c r="D24" s="1" t="s">
        <v>71</v>
      </c>
      <c r="E24" s="1" t="s">
        <v>13</v>
      </c>
      <c r="F24" s="5" t="n">
        <v>14000</v>
      </c>
      <c r="G24" s="1" t="s">
        <v>69</v>
      </c>
    </row>
    <row r="25" customFormat="false" ht="15" hidden="false" customHeight="true" outlineLevel="0" collapsed="false">
      <c r="A25" s="1" t="s">
        <v>72</v>
      </c>
      <c r="B25" s="1" t="s">
        <v>73</v>
      </c>
      <c r="C25" s="1" t="s">
        <v>74</v>
      </c>
      <c r="D25" s="1" t="s">
        <v>75</v>
      </c>
      <c r="E25" s="1" t="s">
        <v>13</v>
      </c>
      <c r="F25" s="5" t="n">
        <v>15500</v>
      </c>
      <c r="G25" s="1" t="s">
        <v>51</v>
      </c>
    </row>
    <row r="26" customFormat="false" ht="15" hidden="false" customHeight="true" outlineLevel="0" collapsed="false">
      <c r="A26" s="1" t="s">
        <v>76</v>
      </c>
      <c r="B26" s="1" t="s">
        <v>73</v>
      </c>
      <c r="C26" s="1" t="s">
        <v>67</v>
      </c>
      <c r="D26" s="1" t="s">
        <v>77</v>
      </c>
      <c r="E26" s="1" t="s">
        <v>13</v>
      </c>
      <c r="F26" s="5" t="n">
        <v>20000</v>
      </c>
      <c r="G26" s="1" t="s">
        <v>69</v>
      </c>
    </row>
    <row r="27" customFormat="false" ht="15" hidden="false" customHeight="true" outlineLevel="0" collapsed="false">
      <c r="A27" s="1" t="s">
        <v>78</v>
      </c>
      <c r="B27" s="1" t="s">
        <v>73</v>
      </c>
      <c r="C27" s="1" t="s">
        <v>79</v>
      </c>
      <c r="D27" s="1" t="s">
        <v>80</v>
      </c>
      <c r="E27" s="1" t="s">
        <v>13</v>
      </c>
      <c r="F27" s="5" t="n">
        <v>19000</v>
      </c>
      <c r="G27" s="1" t="s">
        <v>51</v>
      </c>
    </row>
    <row r="28" customFormat="false" ht="15" hidden="false" customHeight="true" outlineLevel="0" collapsed="false">
      <c r="A28" s="1" t="s">
        <v>81</v>
      </c>
      <c r="B28" s="1" t="s">
        <v>27</v>
      </c>
      <c r="C28" s="1" t="s">
        <v>28</v>
      </c>
      <c r="D28" s="1" t="s">
        <v>32</v>
      </c>
      <c r="E28" s="1" t="s">
        <v>18</v>
      </c>
      <c r="F28" s="5" t="n">
        <v>3800</v>
      </c>
      <c r="G28" s="1" t="s">
        <v>38</v>
      </c>
    </row>
    <row r="29" customFormat="false" ht="15" hidden="false" customHeight="true" outlineLevel="0" collapsed="false">
      <c r="A29" s="1" t="s">
        <v>82</v>
      </c>
      <c r="B29" s="1" t="s">
        <v>27</v>
      </c>
      <c r="C29" s="1" t="s">
        <v>28</v>
      </c>
      <c r="D29" s="1" t="s">
        <v>83</v>
      </c>
      <c r="E29" s="1" t="s">
        <v>18</v>
      </c>
      <c r="F29" s="5" t="n">
        <v>4000</v>
      </c>
      <c r="G29" s="1" t="s">
        <v>38</v>
      </c>
    </row>
    <row r="30" customFormat="false" ht="15" hidden="false" customHeight="true" outlineLevel="0" collapsed="false">
      <c r="A30" s="1" t="s">
        <v>84</v>
      </c>
      <c r="B30" s="1" t="s">
        <v>73</v>
      </c>
      <c r="C30" s="1" t="s">
        <v>85</v>
      </c>
      <c r="D30" s="1" t="s">
        <v>86</v>
      </c>
      <c r="E30" s="1" t="s">
        <v>13</v>
      </c>
      <c r="F30" s="5" t="n">
        <v>18000</v>
      </c>
      <c r="G30" s="1" t="s">
        <v>69</v>
      </c>
    </row>
    <row r="31" customFormat="false" ht="15" hidden="false" customHeight="true" outlineLevel="0" collapsed="false">
      <c r="A31" s="1" t="s">
        <v>87</v>
      </c>
      <c r="B31" s="1" t="s">
        <v>73</v>
      </c>
      <c r="C31" s="1" t="s">
        <v>88</v>
      </c>
      <c r="D31" s="1" t="s">
        <v>89</v>
      </c>
      <c r="E31" s="1" t="s">
        <v>13</v>
      </c>
      <c r="F31" s="5" t="n">
        <v>22000</v>
      </c>
      <c r="G31" s="1" t="s">
        <v>51</v>
      </c>
    </row>
    <row r="32" customFormat="false" ht="15" hidden="false" customHeight="true" outlineLevel="0" collapsed="false">
      <c r="A32" s="1" t="s">
        <v>90</v>
      </c>
      <c r="B32" s="1" t="s">
        <v>73</v>
      </c>
      <c r="C32" s="1" t="s">
        <v>91</v>
      </c>
      <c r="D32" s="1" t="s">
        <v>92</v>
      </c>
      <c r="E32" s="1" t="s">
        <v>18</v>
      </c>
      <c r="F32" s="5" t="n">
        <v>18700</v>
      </c>
      <c r="G32" s="1" t="s">
        <v>93</v>
      </c>
    </row>
    <row r="33" customFormat="false" ht="15" hidden="false" customHeight="true" outlineLevel="0" collapsed="false">
      <c r="A33" s="1" t="s">
        <v>94</v>
      </c>
      <c r="B33" s="1" t="s">
        <v>73</v>
      </c>
      <c r="C33" s="1" t="s">
        <v>91</v>
      </c>
      <c r="D33" s="1" t="s">
        <v>92</v>
      </c>
      <c r="E33" s="1" t="s">
        <v>18</v>
      </c>
      <c r="F33" s="5" t="n">
        <v>20100</v>
      </c>
      <c r="G33" s="1" t="s">
        <v>95</v>
      </c>
    </row>
    <row r="34" customFormat="false" ht="15" hidden="false" customHeight="true" outlineLevel="0" collapsed="false">
      <c r="A34" s="1" t="s">
        <v>96</v>
      </c>
      <c r="B34" s="1" t="s">
        <v>44</v>
      </c>
      <c r="C34" s="1" t="s">
        <v>97</v>
      </c>
      <c r="D34" s="1" t="s">
        <v>98</v>
      </c>
      <c r="E34" s="1" t="s">
        <v>13</v>
      </c>
      <c r="F34" s="5" t="n">
        <v>9000</v>
      </c>
      <c r="G34" s="1" t="s">
        <v>51</v>
      </c>
    </row>
    <row r="35" customFormat="false" ht="15" hidden="false" customHeight="true" outlineLevel="0" collapsed="false">
      <c r="A35" s="1" t="s">
        <v>99</v>
      </c>
      <c r="B35" s="1" t="s">
        <v>27</v>
      </c>
      <c r="C35" s="1" t="s">
        <v>91</v>
      </c>
      <c r="D35" s="1" t="s">
        <v>100</v>
      </c>
      <c r="E35" s="1" t="s">
        <v>13</v>
      </c>
      <c r="F35" s="5" t="n">
        <v>3500</v>
      </c>
      <c r="G35" s="1" t="s">
        <v>51</v>
      </c>
    </row>
    <row r="36" customFormat="false" ht="15" hidden="false" customHeight="true" outlineLevel="0" collapsed="false">
      <c r="A36" s="1" t="s">
        <v>101</v>
      </c>
      <c r="B36" s="1" t="s">
        <v>27</v>
      </c>
      <c r="C36" s="1" t="s">
        <v>102</v>
      </c>
      <c r="D36" s="1" t="s">
        <v>103</v>
      </c>
      <c r="E36" s="1" t="s">
        <v>13</v>
      </c>
      <c r="F36" s="5" t="n">
        <v>4200</v>
      </c>
      <c r="G36" s="1" t="s">
        <v>51</v>
      </c>
    </row>
    <row r="37" customFormat="false" ht="15" hidden="false" customHeight="true" outlineLevel="0" collapsed="false">
      <c r="A37" s="1" t="s">
        <v>104</v>
      </c>
      <c r="B37" s="1" t="s">
        <v>27</v>
      </c>
      <c r="C37" s="1" t="s">
        <v>105</v>
      </c>
      <c r="D37" s="1" t="s">
        <v>106</v>
      </c>
      <c r="E37" s="1" t="s">
        <v>18</v>
      </c>
      <c r="F37" s="5" t="n">
        <v>3600</v>
      </c>
      <c r="G37" s="1" t="s">
        <v>30</v>
      </c>
    </row>
    <row r="38" customFormat="false" ht="15" hidden="false" customHeight="true" outlineLevel="0" collapsed="false">
      <c r="A38" s="1" t="s">
        <v>107</v>
      </c>
      <c r="B38" s="1" t="s">
        <v>23</v>
      </c>
      <c r="C38" s="1" t="s">
        <v>102</v>
      </c>
      <c r="D38" s="1" t="s">
        <v>108</v>
      </c>
      <c r="E38" s="1" t="s">
        <v>18</v>
      </c>
      <c r="F38" s="5" t="n">
        <v>2800</v>
      </c>
      <c r="G38" s="1" t="s">
        <v>30</v>
      </c>
    </row>
    <row r="39" customFormat="false" ht="15" hidden="false" customHeight="true" outlineLevel="0" collapsed="false">
      <c r="A39" s="1" t="s">
        <v>109</v>
      </c>
      <c r="B39" s="1" t="s">
        <v>27</v>
      </c>
      <c r="C39" s="1" t="s">
        <v>102</v>
      </c>
      <c r="D39" s="1" t="s">
        <v>110</v>
      </c>
      <c r="E39" s="1" t="s">
        <v>18</v>
      </c>
      <c r="F39" s="5" t="n">
        <v>4000</v>
      </c>
      <c r="G39" s="1" t="s">
        <v>30</v>
      </c>
    </row>
    <row r="40" customFormat="false" ht="15" hidden="false" customHeight="true" outlineLevel="0" collapsed="false">
      <c r="A40" s="1" t="s">
        <v>111</v>
      </c>
      <c r="B40" s="1" t="s">
        <v>27</v>
      </c>
      <c r="C40" s="1" t="s">
        <v>112</v>
      </c>
      <c r="D40" s="1" t="s">
        <v>113</v>
      </c>
      <c r="E40" s="1" t="s">
        <v>18</v>
      </c>
      <c r="F40" s="5" t="n">
        <v>4500</v>
      </c>
      <c r="G40" s="1" t="s">
        <v>114</v>
      </c>
    </row>
    <row r="41" customFormat="false" ht="15" hidden="false" customHeight="true" outlineLevel="0" collapsed="false">
      <c r="A41" s="1" t="s">
        <v>115</v>
      </c>
      <c r="B41" s="1" t="s">
        <v>23</v>
      </c>
      <c r="C41" s="1" t="s">
        <v>112</v>
      </c>
      <c r="D41" s="1" t="s">
        <v>113</v>
      </c>
      <c r="E41" s="1" t="s">
        <v>18</v>
      </c>
      <c r="F41" s="5" t="n">
        <v>2000</v>
      </c>
      <c r="G41" s="1" t="s">
        <v>114</v>
      </c>
    </row>
    <row r="42" customFormat="false" ht="15" hidden="false" customHeight="true" outlineLevel="0" collapsed="false">
      <c r="A42" s="1" t="s">
        <v>116</v>
      </c>
      <c r="B42" s="1" t="s">
        <v>27</v>
      </c>
      <c r="C42" s="1" t="s">
        <v>117</v>
      </c>
      <c r="D42" s="1" t="s">
        <v>118</v>
      </c>
      <c r="E42" s="1" t="s">
        <v>18</v>
      </c>
      <c r="F42" s="5" t="n">
        <v>4800</v>
      </c>
      <c r="G42" s="1" t="s">
        <v>57</v>
      </c>
    </row>
    <row r="43" customFormat="false" ht="15" hidden="false" customHeight="true" outlineLevel="0" collapsed="false">
      <c r="A43" s="1" t="s">
        <v>119</v>
      </c>
      <c r="B43" s="1" t="s">
        <v>10</v>
      </c>
      <c r="C43" s="1" t="s">
        <v>112</v>
      </c>
      <c r="D43" s="1" t="s">
        <v>113</v>
      </c>
      <c r="E43" s="1" t="s">
        <v>18</v>
      </c>
      <c r="F43" s="5" t="n">
        <v>1900</v>
      </c>
      <c r="G43" s="1" t="s">
        <v>120</v>
      </c>
    </row>
    <row r="44" customFormat="false" ht="15" hidden="false" customHeight="true" outlineLevel="0" collapsed="false">
      <c r="A44" s="1" t="s">
        <v>121</v>
      </c>
      <c r="B44" s="1" t="s">
        <v>10</v>
      </c>
      <c r="C44" s="1" t="s">
        <v>112</v>
      </c>
      <c r="D44" s="1" t="s">
        <v>113</v>
      </c>
      <c r="E44" s="1" t="s">
        <v>18</v>
      </c>
      <c r="F44" s="5" t="n">
        <v>1900</v>
      </c>
      <c r="G44" s="1" t="s">
        <v>120</v>
      </c>
    </row>
    <row r="45" customFormat="false" ht="15" hidden="false" customHeight="true" outlineLevel="0" collapsed="false">
      <c r="A45" s="1" t="s">
        <v>122</v>
      </c>
      <c r="B45" s="1" t="s">
        <v>27</v>
      </c>
      <c r="C45" s="1" t="s">
        <v>123</v>
      </c>
      <c r="D45" s="1" t="s">
        <v>124</v>
      </c>
      <c r="E45" s="1" t="s">
        <v>13</v>
      </c>
      <c r="F45" s="5" t="n">
        <v>3000</v>
      </c>
      <c r="G45" s="1" t="s">
        <v>51</v>
      </c>
    </row>
    <row r="46" customFormat="false" ht="15" hidden="false" customHeight="true" outlineLevel="0" collapsed="false">
      <c r="A46" s="1" t="s">
        <v>125</v>
      </c>
      <c r="B46" s="1" t="s">
        <v>10</v>
      </c>
      <c r="C46" s="1" t="s">
        <v>126</v>
      </c>
      <c r="D46" s="1" t="s">
        <v>127</v>
      </c>
      <c r="E46" s="1" t="s">
        <v>13</v>
      </c>
      <c r="F46" s="5" t="n">
        <v>1800</v>
      </c>
      <c r="G46" s="1" t="s">
        <v>51</v>
      </c>
    </row>
    <row r="47" customFormat="false" ht="15" hidden="false" customHeight="true" outlineLevel="0" collapsed="false">
      <c r="A47" s="1" t="s">
        <v>128</v>
      </c>
      <c r="B47" s="1" t="s">
        <v>27</v>
      </c>
      <c r="C47" s="1" t="s">
        <v>129</v>
      </c>
      <c r="D47" s="1" t="s">
        <v>130</v>
      </c>
      <c r="E47" s="1" t="s">
        <v>13</v>
      </c>
      <c r="F47" s="5" t="n">
        <v>3200</v>
      </c>
      <c r="G47" s="1" t="s">
        <v>51</v>
      </c>
    </row>
    <row r="48" customFormat="false" ht="15" hidden="false" customHeight="true" outlineLevel="0" collapsed="false">
      <c r="A48" s="1" t="s">
        <v>131</v>
      </c>
      <c r="B48" s="1" t="s">
        <v>27</v>
      </c>
      <c r="C48" s="1" t="s">
        <v>132</v>
      </c>
      <c r="D48" s="1" t="s">
        <v>133</v>
      </c>
      <c r="E48" s="1" t="s">
        <v>13</v>
      </c>
      <c r="F48" s="5" t="n">
        <v>2900</v>
      </c>
      <c r="G48" s="1" t="s">
        <v>51</v>
      </c>
    </row>
    <row r="49" customFormat="false" ht="15" hidden="false" customHeight="true" outlineLevel="0" collapsed="false">
      <c r="A49" s="1" t="s">
        <v>134</v>
      </c>
      <c r="B49" s="1" t="s">
        <v>27</v>
      </c>
      <c r="C49" s="1" t="s">
        <v>135</v>
      </c>
      <c r="D49" s="1" t="s">
        <v>136</v>
      </c>
      <c r="E49" s="1" t="s">
        <v>13</v>
      </c>
      <c r="F49" s="5" t="n">
        <v>3000</v>
      </c>
      <c r="G49" s="1" t="s">
        <v>51</v>
      </c>
    </row>
    <row r="50" customFormat="false" ht="15" hidden="false" customHeight="true" outlineLevel="0" collapsed="false">
      <c r="A50" s="1" t="s">
        <v>137</v>
      </c>
      <c r="B50" s="1" t="s">
        <v>44</v>
      </c>
      <c r="C50" s="1" t="s">
        <v>138</v>
      </c>
      <c r="D50" s="1" t="s">
        <v>139</v>
      </c>
      <c r="E50" s="1" t="s">
        <v>13</v>
      </c>
      <c r="F50" s="5" t="n">
        <v>8500</v>
      </c>
      <c r="G50" s="1" t="s">
        <v>51</v>
      </c>
    </row>
    <row r="51" customFormat="false" ht="15" hidden="false" customHeight="true" outlineLevel="0" collapsed="false">
      <c r="A51" s="1" t="s">
        <v>140</v>
      </c>
      <c r="B51" s="1" t="s">
        <v>73</v>
      </c>
      <c r="C51" s="1" t="s">
        <v>141</v>
      </c>
      <c r="D51" s="1" t="s">
        <v>142</v>
      </c>
      <c r="E51" s="1" t="s">
        <v>13</v>
      </c>
      <c r="F51" s="5" t="n">
        <v>16500</v>
      </c>
      <c r="G51" s="1" t="s">
        <v>51</v>
      </c>
    </row>
    <row r="52" customFormat="false" ht="15" hidden="false" customHeight="true" outlineLevel="0" collapsed="false">
      <c r="A52" s="1" t="s">
        <v>143</v>
      </c>
      <c r="B52" s="1" t="s">
        <v>44</v>
      </c>
      <c r="C52" s="1" t="s">
        <v>144</v>
      </c>
      <c r="D52" s="1" t="s">
        <v>145</v>
      </c>
      <c r="E52" s="1" t="s">
        <v>13</v>
      </c>
      <c r="F52" s="5" t="n">
        <v>9200</v>
      </c>
      <c r="G52" s="1" t="s">
        <v>51</v>
      </c>
    </row>
    <row r="55" customFormat="false" ht="15" hidden="false" customHeight="true" outlineLevel="0" collapsed="false">
      <c r="A55" s="6" t="s">
        <v>146</v>
      </c>
    </row>
    <row r="56" customFormat="false" ht="15" hidden="false" customHeight="true" outlineLevel="0" collapsed="false">
      <c r="A56" s="7" t="s">
        <v>2</v>
      </c>
      <c r="B56" s="7" t="s">
        <v>147</v>
      </c>
      <c r="C56" s="7" t="s">
        <v>148</v>
      </c>
      <c r="D56" s="7" t="s">
        <v>149</v>
      </c>
      <c r="E56" s="7" t="s">
        <v>150</v>
      </c>
      <c r="F56" s="7" t="s">
        <v>151</v>
      </c>
      <c r="G56" s="7" t="s">
        <v>152</v>
      </c>
      <c r="H56" s="7" t="s">
        <v>153</v>
      </c>
      <c r="I56" s="7" t="s">
        <v>154</v>
      </c>
      <c r="J56" s="7" t="s">
        <v>155</v>
      </c>
      <c r="K56" s="7" t="s">
        <v>156</v>
      </c>
      <c r="L56" s="7" t="s">
        <v>157</v>
      </c>
      <c r="M56" s="7" t="s">
        <v>158</v>
      </c>
      <c r="N56" s="7" t="s">
        <v>159</v>
      </c>
      <c r="O56" s="7" t="s">
        <v>160</v>
      </c>
      <c r="P56" s="7" t="s">
        <v>161</v>
      </c>
      <c r="Q56" s="7" t="s">
        <v>162</v>
      </c>
      <c r="R56" s="7" t="s">
        <v>163</v>
      </c>
      <c r="S56" s="7" t="s">
        <v>164</v>
      </c>
      <c r="T56" s="7" t="s">
        <v>165</v>
      </c>
      <c r="U56" s="7" t="s">
        <v>166</v>
      </c>
    </row>
    <row r="57" customFormat="false" ht="15" hidden="false" customHeight="true" outlineLevel="0" collapsed="false">
      <c r="A57" s="1" t="str">
        <f aca="false">A5</f>
        <v>FabHotel Arafa Inn</v>
      </c>
      <c r="B57" s="5" t="n">
        <f aca="false">$F5*1</f>
        <v>1800</v>
      </c>
      <c r="C57" s="5" t="n">
        <f aca="false">$F5*2</f>
        <v>3600</v>
      </c>
      <c r="D57" s="5" t="n">
        <f aca="false">$F5*3</f>
        <v>5400</v>
      </c>
      <c r="E57" s="5" t="n">
        <f aca="false">$F5*4</f>
        <v>7200</v>
      </c>
      <c r="F57" s="5" t="n">
        <f aca="false">$F5*5</f>
        <v>9000</v>
      </c>
      <c r="G57" s="5" t="n">
        <f aca="false">$F5*6</f>
        <v>10800</v>
      </c>
      <c r="H57" s="5" t="n">
        <f aca="false">$F5*7</f>
        <v>12600</v>
      </c>
      <c r="I57" s="5" t="n">
        <f aca="false">$F5*8</f>
        <v>14400</v>
      </c>
      <c r="J57" s="5" t="n">
        <f aca="false">$F5*9</f>
        <v>16200</v>
      </c>
      <c r="K57" s="5" t="n">
        <f aca="false">$F5*10</f>
        <v>18000</v>
      </c>
      <c r="L57" s="5" t="n">
        <f aca="false">$F5*11</f>
        <v>19800</v>
      </c>
      <c r="M57" s="5" t="n">
        <f aca="false">$F5*12</f>
        <v>21600</v>
      </c>
      <c r="N57" s="5" t="n">
        <f aca="false">$F5*13</f>
        <v>23400</v>
      </c>
      <c r="O57" s="5" t="n">
        <f aca="false">$F5*14</f>
        <v>25200</v>
      </c>
      <c r="P57" s="5" t="n">
        <f aca="false">$F5*15</f>
        <v>27000</v>
      </c>
      <c r="Q57" s="5" t="n">
        <f aca="false">$F5*16</f>
        <v>28800</v>
      </c>
      <c r="R57" s="5" t="n">
        <f aca="false">$F5*17</f>
        <v>30600</v>
      </c>
      <c r="S57" s="5" t="n">
        <f aca="false">$F5*18</f>
        <v>32400</v>
      </c>
      <c r="T57" s="5" t="n">
        <f aca="false">$F5*19</f>
        <v>34200</v>
      </c>
      <c r="U57" s="5" t="n">
        <f aca="false">$F5*20</f>
        <v>36000</v>
      </c>
    </row>
    <row r="58" customFormat="false" ht="15" hidden="false" customHeight="true" outlineLevel="0" collapsed="false">
      <c r="A58" s="1" t="str">
        <f aca="false">A6</f>
        <v>Hotel Basant Residency</v>
      </c>
      <c r="B58" s="5" t="n">
        <f aca="false">$F6*1</f>
        <v>1200</v>
      </c>
      <c r="C58" s="5" t="n">
        <f aca="false">$F6*2</f>
        <v>2400</v>
      </c>
      <c r="D58" s="5" t="n">
        <f aca="false">$F6*3</f>
        <v>3600</v>
      </c>
      <c r="E58" s="5" t="n">
        <f aca="false">$F6*4</f>
        <v>4800</v>
      </c>
      <c r="F58" s="5" t="n">
        <f aca="false">$F6*5</f>
        <v>6000</v>
      </c>
      <c r="G58" s="5" t="n">
        <f aca="false">$F6*6</f>
        <v>7200</v>
      </c>
      <c r="H58" s="5" t="n">
        <f aca="false">$F6*7</f>
        <v>8400</v>
      </c>
      <c r="I58" s="5" t="n">
        <f aca="false">$F6*8</f>
        <v>9600</v>
      </c>
      <c r="J58" s="5" t="n">
        <f aca="false">$F6*9</f>
        <v>10800</v>
      </c>
      <c r="K58" s="5" t="n">
        <f aca="false">$F6*10</f>
        <v>12000</v>
      </c>
      <c r="L58" s="5" t="n">
        <f aca="false">$F6*11</f>
        <v>13200</v>
      </c>
      <c r="M58" s="5" t="n">
        <f aca="false">$F6*12</f>
        <v>14400</v>
      </c>
      <c r="N58" s="5" t="n">
        <f aca="false">$F6*13</f>
        <v>15600</v>
      </c>
      <c r="O58" s="5" t="n">
        <f aca="false">$F6*14</f>
        <v>16800</v>
      </c>
      <c r="P58" s="5" t="n">
        <f aca="false">$F6*15</f>
        <v>18000</v>
      </c>
      <c r="Q58" s="5" t="n">
        <f aca="false">$F6*16</f>
        <v>19200</v>
      </c>
      <c r="R58" s="5" t="n">
        <f aca="false">$F6*17</f>
        <v>20400</v>
      </c>
      <c r="S58" s="5" t="n">
        <f aca="false">$F6*18</f>
        <v>21600</v>
      </c>
      <c r="T58" s="5" t="n">
        <f aca="false">$F6*19</f>
        <v>22800</v>
      </c>
      <c r="U58" s="5" t="n">
        <f aca="false">$F6*20</f>
        <v>24000</v>
      </c>
    </row>
    <row r="59" customFormat="false" ht="15" hidden="false" customHeight="true" outlineLevel="0" collapsed="false">
      <c r="A59" s="1" t="str">
        <f aca="false">A7</f>
        <v>Hotel Bangalore International</v>
      </c>
      <c r="B59" s="5" t="n">
        <f aca="false">$F7*1</f>
        <v>1600</v>
      </c>
      <c r="C59" s="5" t="n">
        <f aca="false">$F7*2</f>
        <v>3200</v>
      </c>
      <c r="D59" s="5" t="n">
        <f aca="false">$F7*3</f>
        <v>4800</v>
      </c>
      <c r="E59" s="5" t="n">
        <f aca="false">$F7*4</f>
        <v>6400</v>
      </c>
      <c r="F59" s="5" t="n">
        <f aca="false">$F7*5</f>
        <v>8000</v>
      </c>
      <c r="G59" s="5" t="n">
        <f aca="false">$F7*6</f>
        <v>9600</v>
      </c>
      <c r="H59" s="5" t="n">
        <f aca="false">$F7*7</f>
        <v>11200</v>
      </c>
      <c r="I59" s="5" t="n">
        <f aca="false">$F7*8</f>
        <v>12800</v>
      </c>
      <c r="J59" s="5" t="n">
        <f aca="false">$F7*9</f>
        <v>14400</v>
      </c>
      <c r="K59" s="5" t="n">
        <f aca="false">$F7*10</f>
        <v>16000</v>
      </c>
      <c r="L59" s="5" t="n">
        <f aca="false">$F7*11</f>
        <v>17600</v>
      </c>
      <c r="M59" s="5" t="n">
        <f aca="false">$F7*12</f>
        <v>19200</v>
      </c>
      <c r="N59" s="5" t="n">
        <f aca="false">$F7*13</f>
        <v>20800</v>
      </c>
      <c r="O59" s="5" t="n">
        <f aca="false">$F7*14</f>
        <v>22400</v>
      </c>
      <c r="P59" s="5" t="n">
        <f aca="false">$F7*15</f>
        <v>24000</v>
      </c>
      <c r="Q59" s="5" t="n">
        <f aca="false">$F7*16</f>
        <v>25600</v>
      </c>
      <c r="R59" s="5" t="n">
        <f aca="false">$F7*17</f>
        <v>27200</v>
      </c>
      <c r="S59" s="5" t="n">
        <f aca="false">$F7*18</f>
        <v>28800</v>
      </c>
      <c r="T59" s="5" t="n">
        <f aca="false">$F7*19</f>
        <v>30400</v>
      </c>
      <c r="U59" s="5" t="n">
        <f aca="false">$F7*20</f>
        <v>32000</v>
      </c>
    </row>
    <row r="60" customFormat="false" ht="15" hidden="false" customHeight="true" outlineLevel="0" collapsed="false">
      <c r="A60" s="1" t="str">
        <f aca="false">A8</f>
        <v>Empire Hotel Infantry Road</v>
      </c>
      <c r="B60" s="5" t="n">
        <f aca="false">$F8*1</f>
        <v>2200</v>
      </c>
      <c r="C60" s="5" t="n">
        <f aca="false">$F8*2</f>
        <v>4400</v>
      </c>
      <c r="D60" s="5" t="n">
        <f aca="false">$F8*3</f>
        <v>6600</v>
      </c>
      <c r="E60" s="5" t="n">
        <f aca="false">$F8*4</f>
        <v>8800</v>
      </c>
      <c r="F60" s="5" t="n">
        <f aca="false">$F8*5</f>
        <v>11000</v>
      </c>
      <c r="G60" s="5" t="n">
        <f aca="false">$F8*6</f>
        <v>13200</v>
      </c>
      <c r="H60" s="5" t="n">
        <f aca="false">$F8*7</f>
        <v>15400</v>
      </c>
      <c r="I60" s="5" t="n">
        <f aca="false">$F8*8</f>
        <v>17600</v>
      </c>
      <c r="J60" s="5" t="n">
        <f aca="false">$F8*9</f>
        <v>19800</v>
      </c>
      <c r="K60" s="5" t="n">
        <f aca="false">$F8*10</f>
        <v>22000</v>
      </c>
      <c r="L60" s="5" t="n">
        <f aca="false">$F8*11</f>
        <v>24200</v>
      </c>
      <c r="M60" s="5" t="n">
        <f aca="false">$F8*12</f>
        <v>26400</v>
      </c>
      <c r="N60" s="5" t="n">
        <f aca="false">$F8*13</f>
        <v>28600</v>
      </c>
      <c r="O60" s="5" t="n">
        <f aca="false">$F8*14</f>
        <v>30800</v>
      </c>
      <c r="P60" s="5" t="n">
        <f aca="false">$F8*15</f>
        <v>33000</v>
      </c>
      <c r="Q60" s="5" t="n">
        <f aca="false">$F8*16</f>
        <v>35200</v>
      </c>
      <c r="R60" s="5" t="n">
        <f aca="false">$F8*17</f>
        <v>37400</v>
      </c>
      <c r="S60" s="5" t="n">
        <f aca="false">$F8*18</f>
        <v>39600</v>
      </c>
      <c r="T60" s="5" t="n">
        <f aca="false">$F8*19</f>
        <v>41800</v>
      </c>
      <c r="U60" s="5" t="n">
        <f aca="false">$F8*20</f>
        <v>44000</v>
      </c>
    </row>
    <row r="61" customFormat="false" ht="15" hidden="false" customHeight="true" outlineLevel="0" collapsed="false">
      <c r="A61" s="1" t="str">
        <f aca="false">A9</f>
        <v>La Sara Grand</v>
      </c>
      <c r="B61" s="5" t="n">
        <f aca="false">$F9*1</f>
        <v>3200</v>
      </c>
      <c r="C61" s="5" t="n">
        <f aca="false">$F9*2</f>
        <v>6400</v>
      </c>
      <c r="D61" s="5" t="n">
        <f aca="false">$F9*3</f>
        <v>9600</v>
      </c>
      <c r="E61" s="5" t="n">
        <f aca="false">$F9*4</f>
        <v>12800</v>
      </c>
      <c r="F61" s="5" t="n">
        <f aca="false">$F9*5</f>
        <v>16000</v>
      </c>
      <c r="G61" s="5" t="n">
        <f aca="false">$F9*6</f>
        <v>19200</v>
      </c>
      <c r="H61" s="5" t="n">
        <f aca="false">$F9*7</f>
        <v>22400</v>
      </c>
      <c r="I61" s="5" t="n">
        <f aca="false">$F9*8</f>
        <v>25600</v>
      </c>
      <c r="J61" s="5" t="n">
        <f aca="false">$F9*9</f>
        <v>28800</v>
      </c>
      <c r="K61" s="5" t="n">
        <f aca="false">$F9*10</f>
        <v>32000</v>
      </c>
      <c r="L61" s="5" t="n">
        <f aca="false">$F9*11</f>
        <v>35200</v>
      </c>
      <c r="M61" s="5" t="n">
        <f aca="false">$F9*12</f>
        <v>38400</v>
      </c>
      <c r="N61" s="5" t="n">
        <f aca="false">$F9*13</f>
        <v>41600</v>
      </c>
      <c r="O61" s="5" t="n">
        <f aca="false">$F9*14</f>
        <v>44800</v>
      </c>
      <c r="P61" s="5" t="n">
        <f aca="false">$F9*15</f>
        <v>48000</v>
      </c>
      <c r="Q61" s="5" t="n">
        <f aca="false">$F9*16</f>
        <v>51200</v>
      </c>
      <c r="R61" s="5" t="n">
        <f aca="false">$F9*17</f>
        <v>54400</v>
      </c>
      <c r="S61" s="5" t="n">
        <f aca="false">$F9*18</f>
        <v>57600</v>
      </c>
      <c r="T61" s="5" t="n">
        <f aca="false">$F9*19</f>
        <v>60800</v>
      </c>
      <c r="U61" s="5" t="n">
        <f aca="false">$F9*20</f>
        <v>64000</v>
      </c>
    </row>
    <row r="62" customFormat="false" ht="15" hidden="false" customHeight="true" outlineLevel="0" collapsed="false">
      <c r="A62" s="1" t="str">
        <f aca="false">A10</f>
        <v>Blu Petal Hotel</v>
      </c>
      <c r="B62" s="5" t="n">
        <f aca="false">$F10*1</f>
        <v>3500</v>
      </c>
      <c r="C62" s="5" t="n">
        <f aca="false">$F10*2</f>
        <v>7000</v>
      </c>
      <c r="D62" s="5" t="n">
        <f aca="false">$F10*3</f>
        <v>10500</v>
      </c>
      <c r="E62" s="5" t="n">
        <f aca="false">$F10*4</f>
        <v>14000</v>
      </c>
      <c r="F62" s="5" t="n">
        <f aca="false">$F10*5</f>
        <v>17500</v>
      </c>
      <c r="G62" s="5" t="n">
        <f aca="false">$F10*6</f>
        <v>21000</v>
      </c>
      <c r="H62" s="5" t="n">
        <f aca="false">$F10*7</f>
        <v>24500</v>
      </c>
      <c r="I62" s="5" t="n">
        <f aca="false">$F10*8</f>
        <v>28000</v>
      </c>
      <c r="J62" s="5" t="n">
        <f aca="false">$F10*9</f>
        <v>31500</v>
      </c>
      <c r="K62" s="5" t="n">
        <f aca="false">$F10*10</f>
        <v>35000</v>
      </c>
      <c r="L62" s="5" t="n">
        <f aca="false">$F10*11</f>
        <v>38500</v>
      </c>
      <c r="M62" s="5" t="n">
        <f aca="false">$F10*12</f>
        <v>42000</v>
      </c>
      <c r="N62" s="5" t="n">
        <f aca="false">$F10*13</f>
        <v>45500</v>
      </c>
      <c r="O62" s="5" t="n">
        <f aca="false">$F10*14</f>
        <v>49000</v>
      </c>
      <c r="P62" s="5" t="n">
        <f aca="false">$F10*15</f>
        <v>52500</v>
      </c>
      <c r="Q62" s="5" t="n">
        <f aca="false">$F10*16</f>
        <v>56000</v>
      </c>
      <c r="R62" s="5" t="n">
        <f aca="false">$F10*17</f>
        <v>59500</v>
      </c>
      <c r="S62" s="5" t="n">
        <f aca="false">$F10*18</f>
        <v>63000</v>
      </c>
      <c r="T62" s="5" t="n">
        <f aca="false">$F10*19</f>
        <v>66500</v>
      </c>
      <c r="U62" s="5" t="n">
        <f aca="false">$F10*20</f>
        <v>70000</v>
      </c>
    </row>
    <row r="63" customFormat="false" ht="15" hidden="false" customHeight="true" outlineLevel="0" collapsed="false">
      <c r="A63" s="1" t="str">
        <f aca="false">A11</f>
        <v>Regenta Inn Grand Koramangala</v>
      </c>
      <c r="B63" s="5" t="n">
        <f aca="false">$F11*1</f>
        <v>4200</v>
      </c>
      <c r="C63" s="5" t="n">
        <f aca="false">$F11*2</f>
        <v>8400</v>
      </c>
      <c r="D63" s="5" t="n">
        <f aca="false">$F11*3</f>
        <v>12600</v>
      </c>
      <c r="E63" s="5" t="n">
        <f aca="false">$F11*4</f>
        <v>16800</v>
      </c>
      <c r="F63" s="5" t="n">
        <f aca="false">$F11*5</f>
        <v>21000</v>
      </c>
      <c r="G63" s="5" t="n">
        <f aca="false">$F11*6</f>
        <v>25200</v>
      </c>
      <c r="H63" s="5" t="n">
        <f aca="false">$F11*7</f>
        <v>29400</v>
      </c>
      <c r="I63" s="5" t="n">
        <f aca="false">$F11*8</f>
        <v>33600</v>
      </c>
      <c r="J63" s="5" t="n">
        <f aca="false">$F11*9</f>
        <v>37800</v>
      </c>
      <c r="K63" s="5" t="n">
        <f aca="false">$F11*10</f>
        <v>42000</v>
      </c>
      <c r="L63" s="5" t="n">
        <f aca="false">$F11*11</f>
        <v>46200</v>
      </c>
      <c r="M63" s="5" t="n">
        <f aca="false">$F11*12</f>
        <v>50400</v>
      </c>
      <c r="N63" s="5" t="n">
        <f aca="false">$F11*13</f>
        <v>54600</v>
      </c>
      <c r="O63" s="5" t="n">
        <f aca="false">$F11*14</f>
        <v>58800</v>
      </c>
      <c r="P63" s="5" t="n">
        <f aca="false">$F11*15</f>
        <v>63000</v>
      </c>
      <c r="Q63" s="5" t="n">
        <f aca="false">$F11*16</f>
        <v>67200</v>
      </c>
      <c r="R63" s="5" t="n">
        <f aca="false">$F11*17</f>
        <v>71400</v>
      </c>
      <c r="S63" s="5" t="n">
        <f aca="false">$F11*18</f>
        <v>75600</v>
      </c>
      <c r="T63" s="5" t="n">
        <f aca="false">$F11*19</f>
        <v>79800</v>
      </c>
      <c r="U63" s="5" t="n">
        <f aca="false">$F11*20</f>
        <v>84000</v>
      </c>
    </row>
    <row r="64" customFormat="false" ht="15" hidden="false" customHeight="true" outlineLevel="0" collapsed="false">
      <c r="A64" s="1" t="str">
        <f aca="false">A12</f>
        <v>Tulip Inn Koramangala</v>
      </c>
      <c r="B64" s="5" t="n">
        <f aca="false">$F12*1</f>
        <v>3800</v>
      </c>
      <c r="C64" s="5" t="n">
        <f aca="false">$F12*2</f>
        <v>7600</v>
      </c>
      <c r="D64" s="5" t="n">
        <f aca="false">$F12*3</f>
        <v>11400</v>
      </c>
      <c r="E64" s="5" t="n">
        <f aca="false">$F12*4</f>
        <v>15200</v>
      </c>
      <c r="F64" s="5" t="n">
        <f aca="false">$F12*5</f>
        <v>19000</v>
      </c>
      <c r="G64" s="5" t="n">
        <f aca="false">$F12*6</f>
        <v>22800</v>
      </c>
      <c r="H64" s="5" t="n">
        <f aca="false">$F12*7</f>
        <v>26600</v>
      </c>
      <c r="I64" s="5" t="n">
        <f aca="false">$F12*8</f>
        <v>30400</v>
      </c>
      <c r="J64" s="5" t="n">
        <f aca="false">$F12*9</f>
        <v>34200</v>
      </c>
      <c r="K64" s="5" t="n">
        <f aca="false">$F12*10</f>
        <v>38000</v>
      </c>
      <c r="L64" s="5" t="n">
        <f aca="false">$F12*11</f>
        <v>41800</v>
      </c>
      <c r="M64" s="5" t="n">
        <f aca="false">$F12*12</f>
        <v>45600</v>
      </c>
      <c r="N64" s="5" t="n">
        <f aca="false">$F12*13</f>
        <v>49400</v>
      </c>
      <c r="O64" s="5" t="n">
        <f aca="false">$F12*14</f>
        <v>53200</v>
      </c>
      <c r="P64" s="5" t="n">
        <f aca="false">$F12*15</f>
        <v>57000</v>
      </c>
      <c r="Q64" s="5" t="n">
        <f aca="false">$F12*16</f>
        <v>60800</v>
      </c>
      <c r="R64" s="5" t="n">
        <f aca="false">$F12*17</f>
        <v>64600</v>
      </c>
      <c r="S64" s="5" t="n">
        <f aca="false">$F12*18</f>
        <v>68400</v>
      </c>
      <c r="T64" s="5" t="n">
        <f aca="false">$F12*19</f>
        <v>72200</v>
      </c>
      <c r="U64" s="5" t="n">
        <f aca="false">$F12*20</f>
        <v>76000</v>
      </c>
    </row>
    <row r="65" customFormat="false" ht="15" hidden="false" customHeight="true" outlineLevel="0" collapsed="false">
      <c r="A65" s="1" t="str">
        <f aca="false">A13</f>
        <v>Davanam Sarovar Portico Suites</v>
      </c>
      <c r="B65" s="5" t="n">
        <f aca="false">$F13*1</f>
        <v>4500</v>
      </c>
      <c r="C65" s="5" t="n">
        <f aca="false">$F13*2</f>
        <v>9000</v>
      </c>
      <c r="D65" s="5" t="n">
        <f aca="false">$F13*3</f>
        <v>13500</v>
      </c>
      <c r="E65" s="5" t="n">
        <f aca="false">$F13*4</f>
        <v>18000</v>
      </c>
      <c r="F65" s="5" t="n">
        <f aca="false">$F13*5</f>
        <v>22500</v>
      </c>
      <c r="G65" s="5" t="n">
        <f aca="false">$F13*6</f>
        <v>27000</v>
      </c>
      <c r="H65" s="5" t="n">
        <f aca="false">$F13*7</f>
        <v>31500</v>
      </c>
      <c r="I65" s="5" t="n">
        <f aca="false">$F13*8</f>
        <v>36000</v>
      </c>
      <c r="J65" s="5" t="n">
        <f aca="false">$F13*9</f>
        <v>40500</v>
      </c>
      <c r="K65" s="5" t="n">
        <f aca="false">$F13*10</f>
        <v>45000</v>
      </c>
      <c r="L65" s="5" t="n">
        <f aca="false">$F13*11</f>
        <v>49500</v>
      </c>
      <c r="M65" s="5" t="n">
        <f aca="false">$F13*12</f>
        <v>54000</v>
      </c>
      <c r="N65" s="5" t="n">
        <f aca="false">$F13*13</f>
        <v>58500</v>
      </c>
      <c r="O65" s="5" t="n">
        <f aca="false">$F13*14</f>
        <v>63000</v>
      </c>
      <c r="P65" s="5" t="n">
        <f aca="false">$F13*15</f>
        <v>67500</v>
      </c>
      <c r="Q65" s="5" t="n">
        <f aca="false">$F13*16</f>
        <v>72000</v>
      </c>
      <c r="R65" s="5" t="n">
        <f aca="false">$F13*17</f>
        <v>76500</v>
      </c>
      <c r="S65" s="5" t="n">
        <f aca="false">$F13*18</f>
        <v>81000</v>
      </c>
      <c r="T65" s="5" t="n">
        <f aca="false">$F13*19</f>
        <v>85500</v>
      </c>
      <c r="U65" s="5" t="n">
        <f aca="false">$F13*20</f>
        <v>90000</v>
      </c>
    </row>
    <row r="66" customFormat="false" ht="15" hidden="false" customHeight="true" outlineLevel="0" collapsed="false">
      <c r="A66" s="1" t="str">
        <f aca="false">A14</f>
        <v>The Chancery Pavillion</v>
      </c>
      <c r="B66" s="5" t="n">
        <f aca="false">$F14*1</f>
        <v>7000</v>
      </c>
      <c r="C66" s="5" t="n">
        <f aca="false">$F14*2</f>
        <v>14000</v>
      </c>
      <c r="D66" s="5" t="n">
        <f aca="false">$F14*3</f>
        <v>21000</v>
      </c>
      <c r="E66" s="5" t="n">
        <f aca="false">$F14*4</f>
        <v>28000</v>
      </c>
      <c r="F66" s="5" t="n">
        <f aca="false">$F14*5</f>
        <v>35000</v>
      </c>
      <c r="G66" s="5" t="n">
        <f aca="false">$F14*6</f>
        <v>42000</v>
      </c>
      <c r="H66" s="5" t="n">
        <f aca="false">$F14*7</f>
        <v>49000</v>
      </c>
      <c r="I66" s="5" t="n">
        <f aca="false">$F14*8</f>
        <v>56000</v>
      </c>
      <c r="J66" s="5" t="n">
        <f aca="false">$F14*9</f>
        <v>63000</v>
      </c>
      <c r="K66" s="5" t="n">
        <f aca="false">$F14*10</f>
        <v>70000</v>
      </c>
      <c r="L66" s="5" t="n">
        <f aca="false">$F14*11</f>
        <v>77000</v>
      </c>
      <c r="M66" s="5" t="n">
        <f aca="false">$F14*12</f>
        <v>84000</v>
      </c>
      <c r="N66" s="5" t="n">
        <f aca="false">$F14*13</f>
        <v>91000</v>
      </c>
      <c r="O66" s="5" t="n">
        <f aca="false">$F14*14</f>
        <v>98000</v>
      </c>
      <c r="P66" s="5" t="n">
        <f aca="false">$F14*15</f>
        <v>105000</v>
      </c>
      <c r="Q66" s="5" t="n">
        <f aca="false">$F14*16</f>
        <v>112000</v>
      </c>
      <c r="R66" s="5" t="n">
        <f aca="false">$F14*17</f>
        <v>119000</v>
      </c>
      <c r="S66" s="5" t="n">
        <f aca="false">$F14*18</f>
        <v>126000</v>
      </c>
      <c r="T66" s="5" t="n">
        <f aca="false">$F14*19</f>
        <v>133000</v>
      </c>
      <c r="U66" s="5" t="n">
        <f aca="false">$F14*20</f>
        <v>140000</v>
      </c>
    </row>
    <row r="67" customFormat="false" ht="15" hidden="false" customHeight="true" outlineLevel="0" collapsed="false">
      <c r="A67" s="1" t="str">
        <f aca="false">A15</f>
        <v>Fortune Select JP Cosmos</v>
      </c>
      <c r="B67" s="5" t="n">
        <f aca="false">$F15*1</f>
        <v>6800</v>
      </c>
      <c r="C67" s="5" t="n">
        <f aca="false">$F15*2</f>
        <v>13600</v>
      </c>
      <c r="D67" s="5" t="n">
        <f aca="false">$F15*3</f>
        <v>20400</v>
      </c>
      <c r="E67" s="5" t="n">
        <f aca="false">$F15*4</f>
        <v>27200</v>
      </c>
      <c r="F67" s="5" t="n">
        <f aca="false">$F15*5</f>
        <v>34000</v>
      </c>
      <c r="G67" s="5" t="n">
        <f aca="false">$F15*6</f>
        <v>40800</v>
      </c>
      <c r="H67" s="5" t="n">
        <f aca="false">$F15*7</f>
        <v>47600</v>
      </c>
      <c r="I67" s="5" t="n">
        <f aca="false">$F15*8</f>
        <v>54400</v>
      </c>
      <c r="J67" s="5" t="n">
        <f aca="false">$F15*9</f>
        <v>61200</v>
      </c>
      <c r="K67" s="5" t="n">
        <f aca="false">$F15*10</f>
        <v>68000</v>
      </c>
      <c r="L67" s="5" t="n">
        <f aca="false">$F15*11</f>
        <v>74800</v>
      </c>
      <c r="M67" s="5" t="n">
        <f aca="false">$F15*12</f>
        <v>81600</v>
      </c>
      <c r="N67" s="5" t="n">
        <f aca="false">$F15*13</f>
        <v>88400</v>
      </c>
      <c r="O67" s="5" t="n">
        <f aca="false">$F15*14</f>
        <v>95200</v>
      </c>
      <c r="P67" s="5" t="n">
        <f aca="false">$F15*15</f>
        <v>102000</v>
      </c>
      <c r="Q67" s="5" t="n">
        <f aca="false">$F15*16</f>
        <v>108800</v>
      </c>
      <c r="R67" s="5" t="n">
        <f aca="false">$F15*17</f>
        <v>115600</v>
      </c>
      <c r="S67" s="5" t="n">
        <f aca="false">$F15*18</f>
        <v>122400</v>
      </c>
      <c r="T67" s="5" t="n">
        <f aca="false">$F15*19</f>
        <v>129200</v>
      </c>
      <c r="U67" s="5" t="n">
        <f aca="false">$F15*20</f>
        <v>136000</v>
      </c>
    </row>
    <row r="68" customFormat="false" ht="15" hidden="false" customHeight="true" outlineLevel="0" collapsed="false">
      <c r="A68" s="1" t="str">
        <f aca="false">A16</f>
        <v>The Park Bangalore</v>
      </c>
      <c r="B68" s="5" t="n">
        <f aca="false">$F16*1</f>
        <v>9500</v>
      </c>
      <c r="C68" s="5" t="n">
        <f aca="false">$F16*2</f>
        <v>19000</v>
      </c>
      <c r="D68" s="5" t="n">
        <f aca="false">$F16*3</f>
        <v>28500</v>
      </c>
      <c r="E68" s="5" t="n">
        <f aca="false">$F16*4</f>
        <v>38000</v>
      </c>
      <c r="F68" s="5" t="n">
        <f aca="false">$F16*5</f>
        <v>47500</v>
      </c>
      <c r="G68" s="5" t="n">
        <f aca="false">$F16*6</f>
        <v>57000</v>
      </c>
      <c r="H68" s="5" t="n">
        <f aca="false">$F16*7</f>
        <v>66500</v>
      </c>
      <c r="I68" s="5" t="n">
        <f aca="false">$F16*8</f>
        <v>76000</v>
      </c>
      <c r="J68" s="5" t="n">
        <f aca="false">$F16*9</f>
        <v>85500</v>
      </c>
      <c r="K68" s="5" t="n">
        <f aca="false">$F16*10</f>
        <v>95000</v>
      </c>
      <c r="L68" s="5" t="n">
        <f aca="false">$F16*11</f>
        <v>104500</v>
      </c>
      <c r="M68" s="5" t="n">
        <f aca="false">$F16*12</f>
        <v>114000</v>
      </c>
      <c r="N68" s="5" t="n">
        <f aca="false">$F16*13</f>
        <v>123500</v>
      </c>
      <c r="O68" s="5" t="n">
        <f aca="false">$F16*14</f>
        <v>133000</v>
      </c>
      <c r="P68" s="5" t="n">
        <f aca="false">$F16*15</f>
        <v>142500</v>
      </c>
      <c r="Q68" s="5" t="n">
        <f aca="false">$F16*16</f>
        <v>152000</v>
      </c>
      <c r="R68" s="5" t="n">
        <f aca="false">$F16*17</f>
        <v>161500</v>
      </c>
      <c r="S68" s="5" t="n">
        <f aca="false">$F16*18</f>
        <v>171000</v>
      </c>
      <c r="T68" s="5" t="n">
        <f aca="false">$F16*19</f>
        <v>180500</v>
      </c>
      <c r="U68" s="5" t="n">
        <f aca="false">$F16*20</f>
        <v>190000</v>
      </c>
    </row>
    <row r="69" customFormat="false" ht="15" hidden="false" customHeight="true" outlineLevel="0" collapsed="false">
      <c r="A69" s="1" t="str">
        <f aca="false">A17</f>
        <v>Hilton Bangalore Embassy GolfLinks</v>
      </c>
      <c r="B69" s="5" t="n">
        <f aca="false">$F17*1</f>
        <v>10500</v>
      </c>
      <c r="C69" s="5" t="n">
        <f aca="false">$F17*2</f>
        <v>21000</v>
      </c>
      <c r="D69" s="5" t="n">
        <f aca="false">$F17*3</f>
        <v>31500</v>
      </c>
      <c r="E69" s="5" t="n">
        <f aca="false">$F17*4</f>
        <v>42000</v>
      </c>
      <c r="F69" s="5" t="n">
        <f aca="false">$F17*5</f>
        <v>52500</v>
      </c>
      <c r="G69" s="5" t="n">
        <f aca="false">$F17*6</f>
        <v>63000</v>
      </c>
      <c r="H69" s="5" t="n">
        <f aca="false">$F17*7</f>
        <v>73500</v>
      </c>
      <c r="I69" s="5" t="n">
        <f aca="false">$F17*8</f>
        <v>84000</v>
      </c>
      <c r="J69" s="5" t="n">
        <f aca="false">$F17*9</f>
        <v>94500</v>
      </c>
      <c r="K69" s="5" t="n">
        <f aca="false">$F17*10</f>
        <v>105000</v>
      </c>
      <c r="L69" s="5" t="n">
        <f aca="false">$F17*11</f>
        <v>115500</v>
      </c>
      <c r="M69" s="5" t="n">
        <f aca="false">$F17*12</f>
        <v>126000</v>
      </c>
      <c r="N69" s="5" t="n">
        <f aca="false">$F17*13</f>
        <v>136500</v>
      </c>
      <c r="O69" s="5" t="n">
        <f aca="false">$F17*14</f>
        <v>147000</v>
      </c>
      <c r="P69" s="5" t="n">
        <f aca="false">$F17*15</f>
        <v>157500</v>
      </c>
      <c r="Q69" s="5" t="n">
        <f aca="false">$F17*16</f>
        <v>168000</v>
      </c>
      <c r="R69" s="5" t="n">
        <f aca="false">$F17*17</f>
        <v>178500</v>
      </c>
      <c r="S69" s="5" t="n">
        <f aca="false">$F17*18</f>
        <v>189000</v>
      </c>
      <c r="T69" s="5" t="n">
        <f aca="false">$F17*19</f>
        <v>199500</v>
      </c>
      <c r="U69" s="5" t="n">
        <f aca="false">$F17*20</f>
        <v>210000</v>
      </c>
    </row>
    <row r="70" customFormat="false" ht="15" hidden="false" customHeight="true" outlineLevel="0" collapsed="false">
      <c r="A70" s="1" t="str">
        <f aca="false">A18</f>
        <v>Grand Mercure Bangalore (Koramangala)</v>
      </c>
      <c r="B70" s="5" t="n">
        <f aca="false">$F18*1</f>
        <v>8500</v>
      </c>
      <c r="C70" s="5" t="n">
        <f aca="false">$F18*2</f>
        <v>17000</v>
      </c>
      <c r="D70" s="5" t="n">
        <f aca="false">$F18*3</f>
        <v>25500</v>
      </c>
      <c r="E70" s="5" t="n">
        <f aca="false">$F18*4</f>
        <v>34000</v>
      </c>
      <c r="F70" s="5" t="n">
        <f aca="false">$F18*5</f>
        <v>42500</v>
      </c>
      <c r="G70" s="5" t="n">
        <f aca="false">$F18*6</f>
        <v>51000</v>
      </c>
      <c r="H70" s="5" t="n">
        <f aca="false">$F18*7</f>
        <v>59500</v>
      </c>
      <c r="I70" s="5" t="n">
        <f aca="false">$F18*8</f>
        <v>68000</v>
      </c>
      <c r="J70" s="5" t="n">
        <f aca="false">$F18*9</f>
        <v>76500</v>
      </c>
      <c r="K70" s="5" t="n">
        <f aca="false">$F18*10</f>
        <v>85000</v>
      </c>
      <c r="L70" s="5" t="n">
        <f aca="false">$F18*11</f>
        <v>93500</v>
      </c>
      <c r="M70" s="5" t="n">
        <f aca="false">$F18*12</f>
        <v>102000</v>
      </c>
      <c r="N70" s="5" t="n">
        <f aca="false">$F18*13</f>
        <v>110500</v>
      </c>
      <c r="O70" s="5" t="n">
        <f aca="false">$F18*14</f>
        <v>119000</v>
      </c>
      <c r="P70" s="5" t="n">
        <f aca="false">$F18*15</f>
        <v>127500</v>
      </c>
      <c r="Q70" s="5" t="n">
        <f aca="false">$F18*16</f>
        <v>136000</v>
      </c>
      <c r="R70" s="5" t="n">
        <f aca="false">$F18*17</f>
        <v>144500</v>
      </c>
      <c r="S70" s="5" t="n">
        <f aca="false">$F18*18</f>
        <v>153000</v>
      </c>
      <c r="T70" s="5" t="n">
        <f aca="false">$F18*19</f>
        <v>161500</v>
      </c>
      <c r="U70" s="5" t="n">
        <f aca="false">$F18*20</f>
        <v>170000</v>
      </c>
    </row>
    <row r="71" customFormat="false" ht="15" hidden="false" customHeight="true" outlineLevel="0" collapsed="false">
      <c r="A71" s="1" t="str">
        <f aca="false">A19</f>
        <v>St. Marks Hotel Bengaluru (Radisson Individuals)</v>
      </c>
      <c r="B71" s="5" t="n">
        <f aca="false">$F19*1</f>
        <v>9000</v>
      </c>
      <c r="C71" s="5" t="n">
        <f aca="false">$F19*2</f>
        <v>18000</v>
      </c>
      <c r="D71" s="5" t="n">
        <f aca="false">$F19*3</f>
        <v>27000</v>
      </c>
      <c r="E71" s="5" t="n">
        <f aca="false">$F19*4</f>
        <v>36000</v>
      </c>
      <c r="F71" s="5" t="n">
        <f aca="false">$F19*5</f>
        <v>45000</v>
      </c>
      <c r="G71" s="5" t="n">
        <f aca="false">$F19*6</f>
        <v>54000</v>
      </c>
      <c r="H71" s="5" t="n">
        <f aca="false">$F19*7</f>
        <v>63000</v>
      </c>
      <c r="I71" s="5" t="n">
        <f aca="false">$F19*8</f>
        <v>72000</v>
      </c>
      <c r="J71" s="5" t="n">
        <f aca="false">$F19*9</f>
        <v>81000</v>
      </c>
      <c r="K71" s="5" t="n">
        <f aca="false">$F19*10</f>
        <v>90000</v>
      </c>
      <c r="L71" s="5" t="n">
        <f aca="false">$F19*11</f>
        <v>99000</v>
      </c>
      <c r="M71" s="5" t="n">
        <f aca="false">$F19*12</f>
        <v>108000</v>
      </c>
      <c r="N71" s="5" t="n">
        <f aca="false">$F19*13</f>
        <v>117000</v>
      </c>
      <c r="O71" s="5" t="n">
        <f aca="false">$F19*14</f>
        <v>126000</v>
      </c>
      <c r="P71" s="5" t="n">
        <f aca="false">$F19*15</f>
        <v>135000</v>
      </c>
      <c r="Q71" s="5" t="n">
        <f aca="false">$F19*16</f>
        <v>144000</v>
      </c>
      <c r="R71" s="5" t="n">
        <f aca="false">$F19*17</f>
        <v>153000</v>
      </c>
      <c r="S71" s="5" t="n">
        <f aca="false">$F19*18</f>
        <v>162000</v>
      </c>
      <c r="T71" s="5" t="n">
        <f aca="false">$F19*19</f>
        <v>171000</v>
      </c>
      <c r="U71" s="5" t="n">
        <f aca="false">$F19*20</f>
        <v>180000</v>
      </c>
    </row>
    <row r="72" customFormat="false" ht="15" hidden="false" customHeight="true" outlineLevel="0" collapsed="false">
      <c r="A72" s="1" t="str">
        <f aca="false">A20</f>
        <v>Fairfield by Marriott Bengaluru Rajajinagar</v>
      </c>
      <c r="B72" s="5" t="n">
        <f aca="false">$F20*1</f>
        <v>5500</v>
      </c>
      <c r="C72" s="5" t="n">
        <f aca="false">$F20*2</f>
        <v>11000</v>
      </c>
      <c r="D72" s="5" t="n">
        <f aca="false">$F20*3</f>
        <v>16500</v>
      </c>
      <c r="E72" s="5" t="n">
        <f aca="false">$F20*4</f>
        <v>22000</v>
      </c>
      <c r="F72" s="5" t="n">
        <f aca="false">$F20*5</f>
        <v>27500</v>
      </c>
      <c r="G72" s="5" t="n">
        <f aca="false">$F20*6</f>
        <v>33000</v>
      </c>
      <c r="H72" s="5" t="n">
        <f aca="false">$F20*7</f>
        <v>38500</v>
      </c>
      <c r="I72" s="5" t="n">
        <f aca="false">$F20*8</f>
        <v>44000</v>
      </c>
      <c r="J72" s="5" t="n">
        <f aca="false">$F20*9</f>
        <v>49500</v>
      </c>
      <c r="K72" s="5" t="n">
        <f aca="false">$F20*10</f>
        <v>55000</v>
      </c>
      <c r="L72" s="5" t="n">
        <f aca="false">$F20*11</f>
        <v>60500</v>
      </c>
      <c r="M72" s="5" t="n">
        <f aca="false">$F20*12</f>
        <v>66000</v>
      </c>
      <c r="N72" s="5" t="n">
        <f aca="false">$F20*13</f>
        <v>71500</v>
      </c>
      <c r="O72" s="5" t="n">
        <f aca="false">$F20*14</f>
        <v>77000</v>
      </c>
      <c r="P72" s="5" t="n">
        <f aca="false">$F20*15</f>
        <v>82500</v>
      </c>
      <c r="Q72" s="5" t="n">
        <f aca="false">$F20*16</f>
        <v>88000</v>
      </c>
      <c r="R72" s="5" t="n">
        <f aca="false">$F20*17</f>
        <v>93500</v>
      </c>
      <c r="S72" s="5" t="n">
        <f aca="false">$F20*18</f>
        <v>99000</v>
      </c>
      <c r="T72" s="5" t="n">
        <f aca="false">$F20*19</f>
        <v>104500</v>
      </c>
      <c r="U72" s="5" t="n">
        <f aca="false">$F20*20</f>
        <v>110000</v>
      </c>
    </row>
    <row r="73" customFormat="false" ht="15" hidden="false" customHeight="true" outlineLevel="0" collapsed="false">
      <c r="A73" s="1" t="str">
        <f aca="false">A21</f>
        <v>Gokulam Grand Hotel &amp; Spa</v>
      </c>
      <c r="B73" s="5" t="n">
        <f aca="false">$F21*1</f>
        <v>6000</v>
      </c>
      <c r="C73" s="5" t="n">
        <f aca="false">$F21*2</f>
        <v>12000</v>
      </c>
      <c r="D73" s="5" t="n">
        <f aca="false">$F21*3</f>
        <v>18000</v>
      </c>
      <c r="E73" s="5" t="n">
        <f aca="false">$F21*4</f>
        <v>24000</v>
      </c>
      <c r="F73" s="5" t="n">
        <f aca="false">$F21*5</f>
        <v>30000</v>
      </c>
      <c r="G73" s="5" t="n">
        <f aca="false">$F21*6</f>
        <v>36000</v>
      </c>
      <c r="H73" s="5" t="n">
        <f aca="false">$F21*7</f>
        <v>42000</v>
      </c>
      <c r="I73" s="5" t="n">
        <f aca="false">$F21*8</f>
        <v>48000</v>
      </c>
      <c r="J73" s="5" t="n">
        <f aca="false">$F21*9</f>
        <v>54000</v>
      </c>
      <c r="K73" s="5" t="n">
        <f aca="false">$F21*10</f>
        <v>60000</v>
      </c>
      <c r="L73" s="5" t="n">
        <f aca="false">$F21*11</f>
        <v>66000</v>
      </c>
      <c r="M73" s="5" t="n">
        <f aca="false">$F21*12</f>
        <v>72000</v>
      </c>
      <c r="N73" s="5" t="n">
        <f aca="false">$F21*13</f>
        <v>78000</v>
      </c>
      <c r="O73" s="5" t="n">
        <f aca="false">$F21*14</f>
        <v>84000</v>
      </c>
      <c r="P73" s="5" t="n">
        <f aca="false">$F21*15</f>
        <v>90000</v>
      </c>
      <c r="Q73" s="5" t="n">
        <f aca="false">$F21*16</f>
        <v>96000</v>
      </c>
      <c r="R73" s="5" t="n">
        <f aca="false">$F21*17</f>
        <v>102000</v>
      </c>
      <c r="S73" s="5" t="n">
        <f aca="false">$F21*18</f>
        <v>108000</v>
      </c>
      <c r="T73" s="5" t="n">
        <f aca="false">$F21*19</f>
        <v>114000</v>
      </c>
      <c r="U73" s="5" t="n">
        <f aca="false">$F21*20</f>
        <v>120000</v>
      </c>
    </row>
    <row r="74" customFormat="false" ht="15" hidden="false" customHeight="true" outlineLevel="0" collapsed="false">
      <c r="A74" s="1" t="str">
        <f aca="false">A22</f>
        <v>Royal Orchid Central Bangalore</v>
      </c>
      <c r="B74" s="5" t="n">
        <f aca="false">$F22*1</f>
        <v>6500</v>
      </c>
      <c r="C74" s="5" t="n">
        <f aca="false">$F22*2</f>
        <v>13000</v>
      </c>
      <c r="D74" s="5" t="n">
        <f aca="false">$F22*3</f>
        <v>19500</v>
      </c>
      <c r="E74" s="5" t="n">
        <f aca="false">$F22*4</f>
        <v>26000</v>
      </c>
      <c r="F74" s="5" t="n">
        <f aca="false">$F22*5</f>
        <v>32500</v>
      </c>
      <c r="G74" s="5" t="n">
        <f aca="false">$F22*6</f>
        <v>39000</v>
      </c>
      <c r="H74" s="5" t="n">
        <f aca="false">$F22*7</f>
        <v>45500</v>
      </c>
      <c r="I74" s="5" t="n">
        <f aca="false">$F22*8</f>
        <v>52000</v>
      </c>
      <c r="J74" s="5" t="n">
        <f aca="false">$F22*9</f>
        <v>58500</v>
      </c>
      <c r="K74" s="5" t="n">
        <f aca="false">$F22*10</f>
        <v>65000</v>
      </c>
      <c r="L74" s="5" t="n">
        <f aca="false">$F22*11</f>
        <v>71500</v>
      </c>
      <c r="M74" s="5" t="n">
        <f aca="false">$F22*12</f>
        <v>78000</v>
      </c>
      <c r="N74" s="5" t="n">
        <f aca="false">$F22*13</f>
        <v>84500</v>
      </c>
      <c r="O74" s="5" t="n">
        <f aca="false">$F22*14</f>
        <v>91000</v>
      </c>
      <c r="P74" s="5" t="n">
        <f aca="false">$F22*15</f>
        <v>97500</v>
      </c>
      <c r="Q74" s="5" t="n">
        <f aca="false">$F22*16</f>
        <v>104000</v>
      </c>
      <c r="R74" s="5" t="n">
        <f aca="false">$F22*17</f>
        <v>110500</v>
      </c>
      <c r="S74" s="5" t="n">
        <f aca="false">$F22*18</f>
        <v>117000</v>
      </c>
      <c r="T74" s="5" t="n">
        <f aca="false">$F22*19</f>
        <v>123500</v>
      </c>
      <c r="U74" s="5" t="n">
        <f aca="false">$F22*20</f>
        <v>130000</v>
      </c>
    </row>
    <row r="75" customFormat="false" ht="15" hidden="false" customHeight="true" outlineLevel="0" collapsed="false">
      <c r="A75" s="1" t="str">
        <f aca="false">A23</f>
        <v>Vivanta Bengaluru, MG Road</v>
      </c>
      <c r="B75" s="5" t="n">
        <f aca="false">$F23*1</f>
        <v>11000</v>
      </c>
      <c r="C75" s="5" t="n">
        <f aca="false">$F23*2</f>
        <v>22000</v>
      </c>
      <c r="D75" s="5" t="n">
        <f aca="false">$F23*3</f>
        <v>33000</v>
      </c>
      <c r="E75" s="5" t="n">
        <f aca="false">$F23*4</f>
        <v>44000</v>
      </c>
      <c r="F75" s="5" t="n">
        <f aca="false">$F23*5</f>
        <v>55000</v>
      </c>
      <c r="G75" s="5" t="n">
        <f aca="false">$F23*6</f>
        <v>66000</v>
      </c>
      <c r="H75" s="5" t="n">
        <f aca="false">$F23*7</f>
        <v>77000</v>
      </c>
      <c r="I75" s="5" t="n">
        <f aca="false">$F23*8</f>
        <v>88000</v>
      </c>
      <c r="J75" s="5" t="n">
        <f aca="false">$F23*9</f>
        <v>99000</v>
      </c>
      <c r="K75" s="5" t="n">
        <f aca="false">$F23*10</f>
        <v>110000</v>
      </c>
      <c r="L75" s="5" t="n">
        <f aca="false">$F23*11</f>
        <v>121000</v>
      </c>
      <c r="M75" s="5" t="n">
        <f aca="false">$F23*12</f>
        <v>132000</v>
      </c>
      <c r="N75" s="5" t="n">
        <f aca="false">$F23*13</f>
        <v>143000</v>
      </c>
      <c r="O75" s="5" t="n">
        <f aca="false">$F23*14</f>
        <v>154000</v>
      </c>
      <c r="P75" s="5" t="n">
        <f aca="false">$F23*15</f>
        <v>165000</v>
      </c>
      <c r="Q75" s="5" t="n">
        <f aca="false">$F23*16</f>
        <v>176000</v>
      </c>
      <c r="R75" s="5" t="n">
        <f aca="false">$F23*17</f>
        <v>187000</v>
      </c>
      <c r="S75" s="5" t="n">
        <f aca="false">$F23*18</f>
        <v>198000</v>
      </c>
      <c r="T75" s="5" t="n">
        <f aca="false">$F23*19</f>
        <v>209000</v>
      </c>
      <c r="U75" s="5" t="n">
        <f aca="false">$F23*20</f>
        <v>220000</v>
      </c>
    </row>
    <row r="76" customFormat="false" ht="15" hidden="false" customHeight="true" outlineLevel="0" collapsed="false">
      <c r="A76" s="1" t="str">
        <f aca="false">A24</f>
        <v>ITC Gardenia</v>
      </c>
      <c r="B76" s="5" t="n">
        <f aca="false">$F24*1</f>
        <v>14000</v>
      </c>
      <c r="C76" s="5" t="n">
        <f aca="false">$F24*2</f>
        <v>28000</v>
      </c>
      <c r="D76" s="5" t="n">
        <f aca="false">$F24*3</f>
        <v>42000</v>
      </c>
      <c r="E76" s="5" t="n">
        <f aca="false">$F24*4</f>
        <v>56000</v>
      </c>
      <c r="F76" s="5" t="n">
        <f aca="false">$F24*5</f>
        <v>70000</v>
      </c>
      <c r="G76" s="5" t="n">
        <f aca="false">$F24*6</f>
        <v>84000</v>
      </c>
      <c r="H76" s="5" t="n">
        <f aca="false">$F24*7</f>
        <v>98000</v>
      </c>
      <c r="I76" s="5" t="n">
        <f aca="false">$F24*8</f>
        <v>112000</v>
      </c>
      <c r="J76" s="5" t="n">
        <f aca="false">$F24*9</f>
        <v>126000</v>
      </c>
      <c r="K76" s="5" t="n">
        <f aca="false">$F24*10</f>
        <v>140000</v>
      </c>
      <c r="L76" s="5" t="n">
        <f aca="false">$F24*11</f>
        <v>154000</v>
      </c>
      <c r="M76" s="5" t="n">
        <f aca="false">$F24*12</f>
        <v>168000</v>
      </c>
      <c r="N76" s="5" t="n">
        <f aca="false">$F24*13</f>
        <v>182000</v>
      </c>
      <c r="O76" s="5" t="n">
        <f aca="false">$F24*14</f>
        <v>196000</v>
      </c>
      <c r="P76" s="5" t="n">
        <f aca="false">$F24*15</f>
        <v>210000</v>
      </c>
      <c r="Q76" s="5" t="n">
        <f aca="false">$F24*16</f>
        <v>224000</v>
      </c>
      <c r="R76" s="5" t="n">
        <f aca="false">$F24*17</f>
        <v>238000</v>
      </c>
      <c r="S76" s="5" t="n">
        <f aca="false">$F24*18</f>
        <v>252000</v>
      </c>
      <c r="T76" s="5" t="n">
        <f aca="false">$F24*19</f>
        <v>266000</v>
      </c>
      <c r="U76" s="5" t="n">
        <f aca="false">$F24*20</f>
        <v>280000</v>
      </c>
    </row>
    <row r="77" customFormat="false" ht="15" hidden="false" customHeight="true" outlineLevel="0" collapsed="false">
      <c r="A77" s="1" t="str">
        <f aca="false">A25</f>
        <v>Taj MG Road Bengaluru</v>
      </c>
      <c r="B77" s="5" t="n">
        <f aca="false">$F25*1</f>
        <v>15500</v>
      </c>
      <c r="C77" s="5" t="n">
        <f aca="false">$F25*2</f>
        <v>31000</v>
      </c>
      <c r="D77" s="5" t="n">
        <f aca="false">$F25*3</f>
        <v>46500</v>
      </c>
      <c r="E77" s="5" t="n">
        <f aca="false">$F25*4</f>
        <v>62000</v>
      </c>
      <c r="F77" s="5" t="n">
        <f aca="false">$F25*5</f>
        <v>77500</v>
      </c>
      <c r="G77" s="5" t="n">
        <f aca="false">$F25*6</f>
        <v>93000</v>
      </c>
      <c r="H77" s="5" t="n">
        <f aca="false">$F25*7</f>
        <v>108500</v>
      </c>
      <c r="I77" s="5" t="n">
        <f aca="false">$F25*8</f>
        <v>124000</v>
      </c>
      <c r="J77" s="5" t="n">
        <f aca="false">$F25*9</f>
        <v>139500</v>
      </c>
      <c r="K77" s="5" t="n">
        <f aca="false">$F25*10</f>
        <v>155000</v>
      </c>
      <c r="L77" s="5" t="n">
        <f aca="false">$F25*11</f>
        <v>170500</v>
      </c>
      <c r="M77" s="5" t="n">
        <f aca="false">$F25*12</f>
        <v>186000</v>
      </c>
      <c r="N77" s="5" t="n">
        <f aca="false">$F25*13</f>
        <v>201500</v>
      </c>
      <c r="O77" s="5" t="n">
        <f aca="false">$F25*14</f>
        <v>217000</v>
      </c>
      <c r="P77" s="5" t="n">
        <f aca="false">$F25*15</f>
        <v>232500</v>
      </c>
      <c r="Q77" s="5" t="n">
        <f aca="false">$F25*16</f>
        <v>248000</v>
      </c>
      <c r="R77" s="5" t="n">
        <f aca="false">$F25*17</f>
        <v>263500</v>
      </c>
      <c r="S77" s="5" t="n">
        <f aca="false">$F25*18</f>
        <v>279000</v>
      </c>
      <c r="T77" s="5" t="n">
        <f aca="false">$F25*19</f>
        <v>294500</v>
      </c>
      <c r="U77" s="5" t="n">
        <f aca="false">$F25*20</f>
        <v>310000</v>
      </c>
    </row>
    <row r="78" customFormat="false" ht="15" hidden="false" customHeight="true" outlineLevel="0" collapsed="false">
      <c r="A78" s="1" t="str">
        <f aca="false">A26</f>
        <v>The Oberoi, Bengaluru</v>
      </c>
      <c r="B78" s="5" t="n">
        <f aca="false">$F26*1</f>
        <v>20000</v>
      </c>
      <c r="C78" s="5" t="n">
        <f aca="false">$F26*2</f>
        <v>40000</v>
      </c>
      <c r="D78" s="5" t="n">
        <f aca="false">$F26*3</f>
        <v>60000</v>
      </c>
      <c r="E78" s="5" t="n">
        <f aca="false">$F26*4</f>
        <v>80000</v>
      </c>
      <c r="F78" s="5" t="n">
        <f aca="false">$F26*5</f>
        <v>100000</v>
      </c>
      <c r="G78" s="5" t="n">
        <f aca="false">$F26*6</f>
        <v>120000</v>
      </c>
      <c r="H78" s="5" t="n">
        <f aca="false">$F26*7</f>
        <v>140000</v>
      </c>
      <c r="I78" s="5" t="n">
        <f aca="false">$F26*8</f>
        <v>160000</v>
      </c>
      <c r="J78" s="5" t="n">
        <f aca="false">$F26*9</f>
        <v>180000</v>
      </c>
      <c r="K78" s="5" t="n">
        <f aca="false">$F26*10</f>
        <v>200000</v>
      </c>
      <c r="L78" s="5" t="n">
        <f aca="false">$F26*11</f>
        <v>220000</v>
      </c>
      <c r="M78" s="5" t="n">
        <f aca="false">$F26*12</f>
        <v>240000</v>
      </c>
      <c r="N78" s="5" t="n">
        <f aca="false">$F26*13</f>
        <v>260000</v>
      </c>
      <c r="O78" s="5" t="n">
        <f aca="false">$F26*14</f>
        <v>280000</v>
      </c>
      <c r="P78" s="5" t="n">
        <f aca="false">$F26*15</f>
        <v>300000</v>
      </c>
      <c r="Q78" s="5" t="n">
        <f aca="false">$F26*16</f>
        <v>320000</v>
      </c>
      <c r="R78" s="5" t="n">
        <f aca="false">$F26*17</f>
        <v>340000</v>
      </c>
      <c r="S78" s="5" t="n">
        <f aca="false">$F26*18</f>
        <v>360000</v>
      </c>
      <c r="T78" s="5" t="n">
        <f aca="false">$F26*19</f>
        <v>380000</v>
      </c>
      <c r="U78" s="5" t="n">
        <f aca="false">$F26*20</f>
        <v>400000</v>
      </c>
    </row>
    <row r="79" customFormat="false" ht="15" hidden="false" customHeight="true" outlineLevel="0" collapsed="false">
      <c r="A79" s="1" t="str">
        <f aca="false">A27</f>
        <v>The Ritz-Carlton Bengaluru</v>
      </c>
      <c r="B79" s="5" t="n">
        <f aca="false">$F27*1</f>
        <v>19000</v>
      </c>
      <c r="C79" s="5" t="n">
        <f aca="false">$F27*2</f>
        <v>38000</v>
      </c>
      <c r="D79" s="5" t="n">
        <f aca="false">$F27*3</f>
        <v>57000</v>
      </c>
      <c r="E79" s="5" t="n">
        <f aca="false">$F27*4</f>
        <v>76000</v>
      </c>
      <c r="F79" s="5" t="n">
        <f aca="false">$F27*5</f>
        <v>95000</v>
      </c>
      <c r="G79" s="5" t="n">
        <f aca="false">$F27*6</f>
        <v>114000</v>
      </c>
      <c r="H79" s="5" t="n">
        <f aca="false">$F27*7</f>
        <v>133000</v>
      </c>
      <c r="I79" s="5" t="n">
        <f aca="false">$F27*8</f>
        <v>152000</v>
      </c>
      <c r="J79" s="5" t="n">
        <f aca="false">$F27*9</f>
        <v>171000</v>
      </c>
      <c r="K79" s="5" t="n">
        <f aca="false">$F27*10</f>
        <v>190000</v>
      </c>
      <c r="L79" s="5" t="n">
        <f aca="false">$F27*11</f>
        <v>209000</v>
      </c>
      <c r="M79" s="5" t="n">
        <f aca="false">$F27*12</f>
        <v>228000</v>
      </c>
      <c r="N79" s="5" t="n">
        <f aca="false">$F27*13</f>
        <v>247000</v>
      </c>
      <c r="O79" s="5" t="n">
        <f aca="false">$F27*14</f>
        <v>266000</v>
      </c>
      <c r="P79" s="5" t="n">
        <f aca="false">$F27*15</f>
        <v>285000</v>
      </c>
      <c r="Q79" s="5" t="n">
        <f aca="false">$F27*16</f>
        <v>304000</v>
      </c>
      <c r="R79" s="5" t="n">
        <f aca="false">$F27*17</f>
        <v>323000</v>
      </c>
      <c r="S79" s="5" t="n">
        <f aca="false">$F27*18</f>
        <v>342000</v>
      </c>
      <c r="T79" s="5" t="n">
        <f aca="false">$F27*19</f>
        <v>361000</v>
      </c>
      <c r="U79" s="5" t="n">
        <f aca="false">$F27*20</f>
        <v>380000</v>
      </c>
    </row>
    <row r="80" customFormat="false" ht="15" hidden="false" customHeight="true" outlineLevel="0" collapsed="false">
      <c r="A80" s="1" t="str">
        <f aca="false">A28</f>
        <v>Hotel Ganga Sagar</v>
      </c>
      <c r="B80" s="5" t="n">
        <f aca="false">$F28*1</f>
        <v>3800</v>
      </c>
      <c r="C80" s="5" t="n">
        <f aca="false">$F28*2</f>
        <v>7600</v>
      </c>
      <c r="D80" s="5" t="n">
        <f aca="false">$F28*3</f>
        <v>11400</v>
      </c>
      <c r="E80" s="5" t="n">
        <f aca="false">$F28*4</f>
        <v>15200</v>
      </c>
      <c r="F80" s="5" t="n">
        <f aca="false">$F28*5</f>
        <v>19000</v>
      </c>
      <c r="G80" s="5" t="n">
        <f aca="false">$F28*6</f>
        <v>22800</v>
      </c>
      <c r="H80" s="5" t="n">
        <f aca="false">$F28*7</f>
        <v>26600</v>
      </c>
      <c r="I80" s="5" t="n">
        <f aca="false">$F28*8</f>
        <v>30400</v>
      </c>
      <c r="J80" s="5" t="n">
        <f aca="false">$F28*9</f>
        <v>34200</v>
      </c>
      <c r="K80" s="5" t="n">
        <f aca="false">$F28*10</f>
        <v>38000</v>
      </c>
      <c r="L80" s="5" t="n">
        <f aca="false">$F28*11</f>
        <v>41800</v>
      </c>
      <c r="M80" s="5" t="n">
        <f aca="false">$F28*12</f>
        <v>45600</v>
      </c>
      <c r="N80" s="5" t="n">
        <f aca="false">$F28*13</f>
        <v>49400</v>
      </c>
      <c r="O80" s="5" t="n">
        <f aca="false">$F28*14</f>
        <v>53200</v>
      </c>
      <c r="P80" s="5" t="n">
        <f aca="false">$F28*15</f>
        <v>57000</v>
      </c>
      <c r="Q80" s="5" t="n">
        <f aca="false">$F28*16</f>
        <v>60800</v>
      </c>
      <c r="R80" s="5" t="n">
        <f aca="false">$F28*17</f>
        <v>64600</v>
      </c>
      <c r="S80" s="5" t="n">
        <f aca="false">$F28*18</f>
        <v>68400</v>
      </c>
      <c r="T80" s="5" t="n">
        <f aca="false">$F28*19</f>
        <v>72200</v>
      </c>
      <c r="U80" s="5" t="n">
        <f aca="false">$F28*20</f>
        <v>76000</v>
      </c>
    </row>
    <row r="81" customFormat="false" ht="15" hidden="false" customHeight="true" outlineLevel="0" collapsed="false">
      <c r="A81" s="1" t="str">
        <f aca="false">A29</f>
        <v>The Bouvice</v>
      </c>
      <c r="B81" s="5" t="n">
        <f aca="false">$F29*1</f>
        <v>4000</v>
      </c>
      <c r="C81" s="5" t="n">
        <f aca="false">$F29*2</f>
        <v>8000</v>
      </c>
      <c r="D81" s="5" t="n">
        <f aca="false">$F29*3</f>
        <v>12000</v>
      </c>
      <c r="E81" s="5" t="n">
        <f aca="false">$F29*4</f>
        <v>16000</v>
      </c>
      <c r="F81" s="5" t="n">
        <f aca="false">$F29*5</f>
        <v>20000</v>
      </c>
      <c r="G81" s="5" t="n">
        <f aca="false">$F29*6</f>
        <v>24000</v>
      </c>
      <c r="H81" s="5" t="n">
        <f aca="false">$F29*7</f>
        <v>28000</v>
      </c>
      <c r="I81" s="5" t="n">
        <f aca="false">$F29*8</f>
        <v>32000</v>
      </c>
      <c r="J81" s="5" t="n">
        <f aca="false">$F29*9</f>
        <v>36000</v>
      </c>
      <c r="K81" s="5" t="n">
        <f aca="false">$F29*10</f>
        <v>40000</v>
      </c>
      <c r="L81" s="5" t="n">
        <f aca="false">$F29*11</f>
        <v>44000</v>
      </c>
      <c r="M81" s="5" t="n">
        <f aca="false">$F29*12</f>
        <v>48000</v>
      </c>
      <c r="N81" s="5" t="n">
        <f aca="false">$F29*13</f>
        <v>52000</v>
      </c>
      <c r="O81" s="5" t="n">
        <f aca="false">$F29*14</f>
        <v>56000</v>
      </c>
      <c r="P81" s="5" t="n">
        <f aca="false">$F29*15</f>
        <v>60000</v>
      </c>
      <c r="Q81" s="5" t="n">
        <f aca="false">$F29*16</f>
        <v>64000</v>
      </c>
      <c r="R81" s="5" t="n">
        <f aca="false">$F29*17</f>
        <v>68000</v>
      </c>
      <c r="S81" s="5" t="n">
        <f aca="false">$F29*18</f>
        <v>72000</v>
      </c>
      <c r="T81" s="5" t="n">
        <f aca="false">$F29*19</f>
        <v>76000</v>
      </c>
      <c r="U81" s="5" t="n">
        <f aca="false">$F29*20</f>
        <v>80000</v>
      </c>
    </row>
    <row r="82" customFormat="false" ht="15" hidden="false" customHeight="true" outlineLevel="0" collapsed="false">
      <c r="A82" s="1" t="str">
        <f aca="false">A30</f>
        <v>Taj West End</v>
      </c>
      <c r="B82" s="5" t="n">
        <f aca="false">$F30*1</f>
        <v>18000</v>
      </c>
      <c r="C82" s="5" t="n">
        <f aca="false">$F30*2</f>
        <v>36000</v>
      </c>
      <c r="D82" s="5" t="n">
        <f aca="false">$F30*3</f>
        <v>54000</v>
      </c>
      <c r="E82" s="5" t="n">
        <f aca="false">$F30*4</f>
        <v>72000</v>
      </c>
      <c r="F82" s="5" t="n">
        <f aca="false">$F30*5</f>
        <v>90000</v>
      </c>
      <c r="G82" s="5" t="n">
        <f aca="false">$F30*6</f>
        <v>108000</v>
      </c>
      <c r="H82" s="5" t="n">
        <f aca="false">$F30*7</f>
        <v>126000</v>
      </c>
      <c r="I82" s="5" t="n">
        <f aca="false">$F30*8</f>
        <v>144000</v>
      </c>
      <c r="J82" s="5" t="n">
        <f aca="false">$F30*9</f>
        <v>162000</v>
      </c>
      <c r="K82" s="5" t="n">
        <f aca="false">$F30*10</f>
        <v>180000</v>
      </c>
      <c r="L82" s="5" t="n">
        <f aca="false">$F30*11</f>
        <v>198000</v>
      </c>
      <c r="M82" s="5" t="n">
        <f aca="false">$F30*12</f>
        <v>216000</v>
      </c>
      <c r="N82" s="5" t="n">
        <f aca="false">$F30*13</f>
        <v>234000</v>
      </c>
      <c r="O82" s="5" t="n">
        <f aca="false">$F30*14</f>
        <v>252000</v>
      </c>
      <c r="P82" s="5" t="n">
        <f aca="false">$F30*15</f>
        <v>270000</v>
      </c>
      <c r="Q82" s="5" t="n">
        <f aca="false">$F30*16</f>
        <v>288000</v>
      </c>
      <c r="R82" s="5" t="n">
        <f aca="false">$F30*17</f>
        <v>306000</v>
      </c>
      <c r="S82" s="5" t="n">
        <f aca="false">$F30*18</f>
        <v>324000</v>
      </c>
      <c r="T82" s="5" t="n">
        <f aca="false">$F30*19</f>
        <v>342000</v>
      </c>
      <c r="U82" s="5" t="n">
        <f aca="false">$F30*20</f>
        <v>360000</v>
      </c>
    </row>
    <row r="83" customFormat="false" ht="15" hidden="false" customHeight="true" outlineLevel="0" collapsed="false">
      <c r="A83" s="1" t="str">
        <f aca="false">A31</f>
        <v>The Leela Palace Bengaluru</v>
      </c>
      <c r="B83" s="5" t="n">
        <f aca="false">$F31*1</f>
        <v>22000</v>
      </c>
      <c r="C83" s="5" t="n">
        <f aca="false">$F31*2</f>
        <v>44000</v>
      </c>
      <c r="D83" s="5" t="n">
        <f aca="false">$F31*3</f>
        <v>66000</v>
      </c>
      <c r="E83" s="5" t="n">
        <f aca="false">$F31*4</f>
        <v>88000</v>
      </c>
      <c r="F83" s="5" t="n">
        <f aca="false">$F31*5</f>
        <v>110000</v>
      </c>
      <c r="G83" s="5" t="n">
        <f aca="false">$F31*6</f>
        <v>132000</v>
      </c>
      <c r="H83" s="5" t="n">
        <f aca="false">$F31*7</f>
        <v>154000</v>
      </c>
      <c r="I83" s="5" t="n">
        <f aca="false">$F31*8</f>
        <v>176000</v>
      </c>
      <c r="J83" s="5" t="n">
        <f aca="false">$F31*9</f>
        <v>198000</v>
      </c>
      <c r="K83" s="5" t="n">
        <f aca="false">$F31*10</f>
        <v>220000</v>
      </c>
      <c r="L83" s="5" t="n">
        <f aca="false">$F31*11</f>
        <v>242000</v>
      </c>
      <c r="M83" s="5" t="n">
        <f aca="false">$F31*12</f>
        <v>264000</v>
      </c>
      <c r="N83" s="5" t="n">
        <f aca="false">$F31*13</f>
        <v>286000</v>
      </c>
      <c r="O83" s="5" t="n">
        <f aca="false">$F31*14</f>
        <v>308000</v>
      </c>
      <c r="P83" s="5" t="n">
        <f aca="false">$F31*15</f>
        <v>330000</v>
      </c>
      <c r="Q83" s="5" t="n">
        <f aca="false">$F31*16</f>
        <v>352000</v>
      </c>
      <c r="R83" s="5" t="n">
        <f aca="false">$F31*17</f>
        <v>374000</v>
      </c>
      <c r="S83" s="5" t="n">
        <f aca="false">$F31*18</f>
        <v>396000</v>
      </c>
      <c r="T83" s="5" t="n">
        <f aca="false">$F31*19</f>
        <v>418000</v>
      </c>
      <c r="U83" s="5" t="n">
        <f aca="false">$F31*20</f>
        <v>440000</v>
      </c>
    </row>
    <row r="84" customFormat="false" ht="15" hidden="false" customHeight="true" outlineLevel="0" collapsed="false">
      <c r="A84" s="1" t="str">
        <f aca="false">A32</f>
        <v>Sheraton Grand Bengaluru Whitefield Hotel &amp; Convention Centre</v>
      </c>
      <c r="B84" s="5" t="n">
        <f aca="false">$F32*1</f>
        <v>18700</v>
      </c>
      <c r="C84" s="5" t="n">
        <f aca="false">$F32*2</f>
        <v>37400</v>
      </c>
      <c r="D84" s="5" t="n">
        <f aca="false">$F32*3</f>
        <v>56100</v>
      </c>
      <c r="E84" s="5" t="n">
        <f aca="false">$F32*4</f>
        <v>74800</v>
      </c>
      <c r="F84" s="5" t="n">
        <f aca="false">$F32*5</f>
        <v>93500</v>
      </c>
      <c r="G84" s="5" t="n">
        <f aca="false">$F32*6</f>
        <v>112200</v>
      </c>
      <c r="H84" s="5" t="n">
        <f aca="false">$F32*7</f>
        <v>130900</v>
      </c>
      <c r="I84" s="5" t="n">
        <f aca="false">$F32*8</f>
        <v>149600</v>
      </c>
      <c r="J84" s="5" t="n">
        <f aca="false">$F32*9</f>
        <v>168300</v>
      </c>
      <c r="K84" s="5" t="n">
        <f aca="false">$F32*10</f>
        <v>187000</v>
      </c>
      <c r="L84" s="5" t="n">
        <f aca="false">$F32*11</f>
        <v>205700</v>
      </c>
      <c r="M84" s="5" t="n">
        <f aca="false">$F32*12</f>
        <v>224400</v>
      </c>
      <c r="N84" s="5" t="n">
        <f aca="false">$F32*13</f>
        <v>243100</v>
      </c>
      <c r="O84" s="5" t="n">
        <f aca="false">$F32*14</f>
        <v>261800</v>
      </c>
      <c r="P84" s="5" t="n">
        <f aca="false">$F32*15</f>
        <v>280500</v>
      </c>
      <c r="Q84" s="5" t="n">
        <f aca="false">$F32*16</f>
        <v>299200</v>
      </c>
      <c r="R84" s="5" t="n">
        <f aca="false">$F32*17</f>
        <v>317900</v>
      </c>
      <c r="S84" s="5" t="n">
        <f aca="false">$F32*18</f>
        <v>336600</v>
      </c>
      <c r="T84" s="5" t="n">
        <f aca="false">$F32*19</f>
        <v>355300</v>
      </c>
      <c r="U84" s="5" t="n">
        <f aca="false">$F32*20</f>
        <v>374000</v>
      </c>
    </row>
    <row r="85" customFormat="false" ht="15" hidden="false" customHeight="true" outlineLevel="0" collapsed="false">
      <c r="A85" s="1" t="str">
        <f aca="false">A33</f>
        <v>Mulberry Shades, A Tribute Portfolio Resort by Marriott</v>
      </c>
      <c r="B85" s="5" t="n">
        <f aca="false">$F33*1</f>
        <v>20100</v>
      </c>
      <c r="C85" s="5" t="n">
        <f aca="false">$F33*2</f>
        <v>40200</v>
      </c>
      <c r="D85" s="5" t="n">
        <f aca="false">$F33*3</f>
        <v>60300</v>
      </c>
      <c r="E85" s="5" t="n">
        <f aca="false">$F33*4</f>
        <v>80400</v>
      </c>
      <c r="F85" s="5" t="n">
        <f aca="false">$F33*5</f>
        <v>100500</v>
      </c>
      <c r="G85" s="5" t="n">
        <f aca="false">$F33*6</f>
        <v>120600</v>
      </c>
      <c r="H85" s="5" t="n">
        <f aca="false">$F33*7</f>
        <v>140700</v>
      </c>
      <c r="I85" s="5" t="n">
        <f aca="false">$F33*8</f>
        <v>160800</v>
      </c>
      <c r="J85" s="5" t="n">
        <f aca="false">$F33*9</f>
        <v>180900</v>
      </c>
      <c r="K85" s="5" t="n">
        <f aca="false">$F33*10</f>
        <v>201000</v>
      </c>
      <c r="L85" s="5" t="n">
        <f aca="false">$F33*11</f>
        <v>221100</v>
      </c>
      <c r="M85" s="5" t="n">
        <f aca="false">$F33*12</f>
        <v>241200</v>
      </c>
      <c r="N85" s="5" t="n">
        <f aca="false">$F33*13</f>
        <v>261300</v>
      </c>
      <c r="O85" s="5" t="n">
        <f aca="false">$F33*14</f>
        <v>281400</v>
      </c>
      <c r="P85" s="5" t="n">
        <f aca="false">$F33*15</f>
        <v>301500</v>
      </c>
      <c r="Q85" s="5" t="n">
        <f aca="false">$F33*16</f>
        <v>321600</v>
      </c>
      <c r="R85" s="5" t="n">
        <f aca="false">$F33*17</f>
        <v>341700</v>
      </c>
      <c r="S85" s="5" t="n">
        <f aca="false">$F33*18</f>
        <v>361800</v>
      </c>
      <c r="T85" s="5" t="n">
        <f aca="false">$F33*19</f>
        <v>381900</v>
      </c>
      <c r="U85" s="5" t="n">
        <f aca="false">$F33*20</f>
        <v>402000</v>
      </c>
    </row>
    <row r="86" customFormat="false" ht="15" hidden="false" customHeight="true" outlineLevel="0" collapsed="false">
      <c r="A86" s="1" t="str">
        <f aca="false">A34</f>
        <v>ITC Hotel - Whitefield area property</v>
      </c>
      <c r="B86" s="5" t="n">
        <f aca="false">$F34*1</f>
        <v>9000</v>
      </c>
      <c r="C86" s="5" t="n">
        <f aca="false">$F34*2</f>
        <v>18000</v>
      </c>
      <c r="D86" s="5" t="n">
        <f aca="false">$F34*3</f>
        <v>27000</v>
      </c>
      <c r="E86" s="5" t="n">
        <f aca="false">$F34*4</f>
        <v>36000</v>
      </c>
      <c r="F86" s="5" t="n">
        <f aca="false">$F34*5</f>
        <v>45000</v>
      </c>
      <c r="G86" s="5" t="n">
        <f aca="false">$F34*6</f>
        <v>54000</v>
      </c>
      <c r="H86" s="5" t="n">
        <f aca="false">$F34*7</f>
        <v>63000</v>
      </c>
      <c r="I86" s="5" t="n">
        <f aca="false">$F34*8</f>
        <v>72000</v>
      </c>
      <c r="J86" s="5" t="n">
        <f aca="false">$F34*9</f>
        <v>81000</v>
      </c>
      <c r="K86" s="5" t="n">
        <f aca="false">$F34*10</f>
        <v>90000</v>
      </c>
      <c r="L86" s="5" t="n">
        <f aca="false">$F34*11</f>
        <v>99000</v>
      </c>
      <c r="M86" s="5" t="n">
        <f aca="false">$F34*12</f>
        <v>108000</v>
      </c>
      <c r="N86" s="5" t="n">
        <f aca="false">$F34*13</f>
        <v>117000</v>
      </c>
      <c r="O86" s="5" t="n">
        <f aca="false">$F34*14</f>
        <v>126000</v>
      </c>
      <c r="P86" s="5" t="n">
        <f aca="false">$F34*15</f>
        <v>135000</v>
      </c>
      <c r="Q86" s="5" t="n">
        <f aca="false">$F34*16</f>
        <v>144000</v>
      </c>
      <c r="R86" s="5" t="n">
        <f aca="false">$F34*17</f>
        <v>153000</v>
      </c>
      <c r="S86" s="5" t="n">
        <f aca="false">$F34*18</f>
        <v>162000</v>
      </c>
      <c r="T86" s="5" t="n">
        <f aca="false">$F34*19</f>
        <v>171000</v>
      </c>
      <c r="U86" s="5" t="n">
        <f aca="false">$F34*20</f>
        <v>180000</v>
      </c>
    </row>
    <row r="87" customFormat="false" ht="15" hidden="false" customHeight="true" outlineLevel="0" collapsed="false">
      <c r="A87" s="1" t="str">
        <f aca="false">A35</f>
        <v>Hotel near EPIP Zone Whitefield</v>
      </c>
      <c r="B87" s="5" t="n">
        <f aca="false">$F35*1</f>
        <v>3500</v>
      </c>
      <c r="C87" s="5" t="n">
        <f aca="false">$F35*2</f>
        <v>7000</v>
      </c>
      <c r="D87" s="5" t="n">
        <f aca="false">$F35*3</f>
        <v>10500</v>
      </c>
      <c r="E87" s="5" t="n">
        <f aca="false">$F35*4</f>
        <v>14000</v>
      </c>
      <c r="F87" s="5" t="n">
        <f aca="false">$F35*5</f>
        <v>17500</v>
      </c>
      <c r="G87" s="5" t="n">
        <f aca="false">$F35*6</f>
        <v>21000</v>
      </c>
      <c r="H87" s="5" t="n">
        <f aca="false">$F35*7</f>
        <v>24500</v>
      </c>
      <c r="I87" s="5" t="n">
        <f aca="false">$F35*8</f>
        <v>28000</v>
      </c>
      <c r="J87" s="5" t="n">
        <f aca="false">$F35*9</f>
        <v>31500</v>
      </c>
      <c r="K87" s="5" t="n">
        <f aca="false">$F35*10</f>
        <v>35000</v>
      </c>
      <c r="L87" s="5" t="n">
        <f aca="false">$F35*11</f>
        <v>38500</v>
      </c>
      <c r="M87" s="5" t="n">
        <f aca="false">$F35*12</f>
        <v>42000</v>
      </c>
      <c r="N87" s="5" t="n">
        <f aca="false">$F35*13</f>
        <v>45500</v>
      </c>
      <c r="O87" s="5" t="n">
        <f aca="false">$F35*14</f>
        <v>49000</v>
      </c>
      <c r="P87" s="5" t="n">
        <f aca="false">$F35*15</f>
        <v>52500</v>
      </c>
      <c r="Q87" s="5" t="n">
        <f aca="false">$F35*16</f>
        <v>56000</v>
      </c>
      <c r="R87" s="5" t="n">
        <f aca="false">$F35*17</f>
        <v>59500</v>
      </c>
      <c r="S87" s="5" t="n">
        <f aca="false">$F35*18</f>
        <v>63000</v>
      </c>
      <c r="T87" s="5" t="n">
        <f aca="false">$F35*19</f>
        <v>66500</v>
      </c>
      <c r="U87" s="5" t="n">
        <f aca="false">$F35*20</f>
        <v>70000</v>
      </c>
    </row>
    <row r="88" customFormat="false" ht="15" hidden="false" customHeight="true" outlineLevel="0" collapsed="false">
      <c r="A88" s="1" t="str">
        <f aca="false">A36</f>
        <v>Ixora Suites (Near 100 Ft Rd &amp; Indiranagar Metro)</v>
      </c>
      <c r="B88" s="5" t="n">
        <f aca="false">$F36*1</f>
        <v>4200</v>
      </c>
      <c r="C88" s="5" t="n">
        <f aca="false">$F36*2</f>
        <v>8400</v>
      </c>
      <c r="D88" s="5" t="n">
        <f aca="false">$F36*3</f>
        <v>12600</v>
      </c>
      <c r="E88" s="5" t="n">
        <f aca="false">$F36*4</f>
        <v>16800</v>
      </c>
      <c r="F88" s="5" t="n">
        <f aca="false">$F36*5</f>
        <v>21000</v>
      </c>
      <c r="G88" s="5" t="n">
        <f aca="false">$F36*6</f>
        <v>25200</v>
      </c>
      <c r="H88" s="5" t="n">
        <f aca="false">$F36*7</f>
        <v>29400</v>
      </c>
      <c r="I88" s="5" t="n">
        <f aca="false">$F36*8</f>
        <v>33600</v>
      </c>
      <c r="J88" s="5" t="n">
        <f aca="false">$F36*9</f>
        <v>37800</v>
      </c>
      <c r="K88" s="5" t="n">
        <f aca="false">$F36*10</f>
        <v>42000</v>
      </c>
      <c r="L88" s="5" t="n">
        <f aca="false">$F36*11</f>
        <v>46200</v>
      </c>
      <c r="M88" s="5" t="n">
        <f aca="false">$F36*12</f>
        <v>50400</v>
      </c>
      <c r="N88" s="5" t="n">
        <f aca="false">$F36*13</f>
        <v>54600</v>
      </c>
      <c r="O88" s="5" t="n">
        <f aca="false">$F36*14</f>
        <v>58800</v>
      </c>
      <c r="P88" s="5" t="n">
        <f aca="false">$F36*15</f>
        <v>63000</v>
      </c>
      <c r="Q88" s="5" t="n">
        <f aca="false">$F36*16</f>
        <v>67200</v>
      </c>
      <c r="R88" s="5" t="n">
        <f aca="false">$F36*17</f>
        <v>71400</v>
      </c>
      <c r="S88" s="5" t="n">
        <f aca="false">$F36*18</f>
        <v>75600</v>
      </c>
      <c r="T88" s="5" t="n">
        <f aca="false">$F36*19</f>
        <v>79800</v>
      </c>
      <c r="U88" s="5" t="n">
        <f aca="false">$F36*20</f>
        <v>84000</v>
      </c>
    </row>
    <row r="89" customFormat="false" ht="15" hidden="false" customHeight="true" outlineLevel="0" collapsed="false">
      <c r="A89" s="1" t="str">
        <f aca="false">A37</f>
        <v>Bloom Hotel - Indiranagar</v>
      </c>
      <c r="B89" s="5" t="n">
        <f aca="false">$F37*1</f>
        <v>3600</v>
      </c>
      <c r="C89" s="5" t="n">
        <f aca="false">$F37*2</f>
        <v>7200</v>
      </c>
      <c r="D89" s="5" t="n">
        <f aca="false">$F37*3</f>
        <v>10800</v>
      </c>
      <c r="E89" s="5" t="n">
        <f aca="false">$F37*4</f>
        <v>14400</v>
      </c>
      <c r="F89" s="5" t="n">
        <f aca="false">$F37*5</f>
        <v>18000</v>
      </c>
      <c r="G89" s="5" t="n">
        <f aca="false">$F37*6</f>
        <v>21600</v>
      </c>
      <c r="H89" s="5" t="n">
        <f aca="false">$F37*7</f>
        <v>25200</v>
      </c>
      <c r="I89" s="5" t="n">
        <f aca="false">$F37*8</f>
        <v>28800</v>
      </c>
      <c r="J89" s="5" t="n">
        <f aca="false">$F37*9</f>
        <v>32400</v>
      </c>
      <c r="K89" s="5" t="n">
        <f aca="false">$F37*10</f>
        <v>36000</v>
      </c>
      <c r="L89" s="5" t="n">
        <f aca="false">$F37*11</f>
        <v>39600</v>
      </c>
      <c r="M89" s="5" t="n">
        <f aca="false">$F37*12</f>
        <v>43200</v>
      </c>
      <c r="N89" s="5" t="n">
        <f aca="false">$F37*13</f>
        <v>46800</v>
      </c>
      <c r="O89" s="5" t="n">
        <f aca="false">$F37*14</f>
        <v>50400</v>
      </c>
      <c r="P89" s="5" t="n">
        <f aca="false">$F37*15</f>
        <v>54000</v>
      </c>
      <c r="Q89" s="5" t="n">
        <f aca="false">$F37*16</f>
        <v>57600</v>
      </c>
      <c r="R89" s="5" t="n">
        <f aca="false">$F37*17</f>
        <v>61200</v>
      </c>
      <c r="S89" s="5" t="n">
        <f aca="false">$F37*18</f>
        <v>64800</v>
      </c>
      <c r="T89" s="5" t="n">
        <f aca="false">$F37*19</f>
        <v>68400</v>
      </c>
      <c r="U89" s="5" t="n">
        <f aca="false">$F37*20</f>
        <v>72000</v>
      </c>
    </row>
    <row r="90" customFormat="false" ht="15" hidden="false" customHeight="true" outlineLevel="0" collapsed="false">
      <c r="A90" s="1" t="str">
        <f aca="false">A38</f>
        <v>Hotel Noble Nook, 100 Ft Road</v>
      </c>
      <c r="B90" s="5" t="n">
        <f aca="false">$F38*1</f>
        <v>2800</v>
      </c>
      <c r="C90" s="5" t="n">
        <f aca="false">$F38*2</f>
        <v>5600</v>
      </c>
      <c r="D90" s="5" t="n">
        <f aca="false">$F38*3</f>
        <v>8400</v>
      </c>
      <c r="E90" s="5" t="n">
        <f aca="false">$F38*4</f>
        <v>11200</v>
      </c>
      <c r="F90" s="5" t="n">
        <f aca="false">$F38*5</f>
        <v>14000</v>
      </c>
      <c r="G90" s="5" t="n">
        <f aca="false">$F38*6</f>
        <v>16800</v>
      </c>
      <c r="H90" s="5" t="n">
        <f aca="false">$F38*7</f>
        <v>19600</v>
      </c>
      <c r="I90" s="5" t="n">
        <f aca="false">$F38*8</f>
        <v>22400</v>
      </c>
      <c r="J90" s="5" t="n">
        <f aca="false">$F38*9</f>
        <v>25200</v>
      </c>
      <c r="K90" s="5" t="n">
        <f aca="false">$F38*10</f>
        <v>28000</v>
      </c>
      <c r="L90" s="5" t="n">
        <f aca="false">$F38*11</f>
        <v>30800</v>
      </c>
      <c r="M90" s="5" t="n">
        <f aca="false">$F38*12</f>
        <v>33600</v>
      </c>
      <c r="N90" s="5" t="n">
        <f aca="false">$F38*13</f>
        <v>36400</v>
      </c>
      <c r="O90" s="5" t="n">
        <f aca="false">$F38*14</f>
        <v>39200</v>
      </c>
      <c r="P90" s="5" t="n">
        <f aca="false">$F38*15</f>
        <v>42000</v>
      </c>
      <c r="Q90" s="5" t="n">
        <f aca="false">$F38*16</f>
        <v>44800</v>
      </c>
      <c r="R90" s="5" t="n">
        <f aca="false">$F38*17</f>
        <v>47600</v>
      </c>
      <c r="S90" s="5" t="n">
        <f aca="false">$F38*18</f>
        <v>50400</v>
      </c>
      <c r="T90" s="5" t="n">
        <f aca="false">$F38*19</f>
        <v>53200</v>
      </c>
      <c r="U90" s="5" t="n">
        <f aca="false">$F38*20</f>
        <v>56000</v>
      </c>
    </row>
    <row r="91" customFormat="false" ht="15" hidden="false" customHeight="true" outlineLevel="0" collapsed="false">
      <c r="A91" s="1" t="str">
        <f aca="false">A39</f>
        <v>Sanctum Suites Indiranagar</v>
      </c>
      <c r="B91" s="5" t="n">
        <f aca="false">$F39*1</f>
        <v>4000</v>
      </c>
      <c r="C91" s="5" t="n">
        <f aca="false">$F39*2</f>
        <v>8000</v>
      </c>
      <c r="D91" s="5" t="n">
        <f aca="false">$F39*3</f>
        <v>12000</v>
      </c>
      <c r="E91" s="5" t="n">
        <f aca="false">$F39*4</f>
        <v>16000</v>
      </c>
      <c r="F91" s="5" t="n">
        <f aca="false">$F39*5</f>
        <v>20000</v>
      </c>
      <c r="G91" s="5" t="n">
        <f aca="false">$F39*6</f>
        <v>24000</v>
      </c>
      <c r="H91" s="5" t="n">
        <f aca="false">$F39*7</f>
        <v>28000</v>
      </c>
      <c r="I91" s="5" t="n">
        <f aca="false">$F39*8</f>
        <v>32000</v>
      </c>
      <c r="J91" s="5" t="n">
        <f aca="false">$F39*9</f>
        <v>36000</v>
      </c>
      <c r="K91" s="5" t="n">
        <f aca="false">$F39*10</f>
        <v>40000</v>
      </c>
      <c r="L91" s="5" t="n">
        <f aca="false">$F39*11</f>
        <v>44000</v>
      </c>
      <c r="M91" s="5" t="n">
        <f aca="false">$F39*12</f>
        <v>48000</v>
      </c>
      <c r="N91" s="5" t="n">
        <f aca="false">$F39*13</f>
        <v>52000</v>
      </c>
      <c r="O91" s="5" t="n">
        <f aca="false">$F39*14</f>
        <v>56000</v>
      </c>
      <c r="P91" s="5" t="n">
        <f aca="false">$F39*15</f>
        <v>60000</v>
      </c>
      <c r="Q91" s="5" t="n">
        <f aca="false">$F39*16</f>
        <v>64000</v>
      </c>
      <c r="R91" s="5" t="n">
        <f aca="false">$F39*17</f>
        <v>68000</v>
      </c>
      <c r="S91" s="5" t="n">
        <f aca="false">$F39*18</f>
        <v>72000</v>
      </c>
      <c r="T91" s="5" t="n">
        <f aca="false">$F39*19</f>
        <v>76000</v>
      </c>
      <c r="U91" s="5" t="n">
        <f aca="false">$F39*20</f>
        <v>80000</v>
      </c>
    </row>
    <row r="92" customFormat="false" ht="15" hidden="false" customHeight="true" outlineLevel="0" collapsed="false">
      <c r="A92" s="1" t="str">
        <f aca="false">A40</f>
        <v>Clarion Hotel Bangalore</v>
      </c>
      <c r="B92" s="5" t="n">
        <f aca="false">$F40*1</f>
        <v>4500</v>
      </c>
      <c r="C92" s="5" t="n">
        <f aca="false">$F40*2</f>
        <v>9000</v>
      </c>
      <c r="D92" s="5" t="n">
        <f aca="false">$F40*3</f>
        <v>13500</v>
      </c>
      <c r="E92" s="5" t="n">
        <f aca="false">$F40*4</f>
        <v>18000</v>
      </c>
      <c r="F92" s="5" t="n">
        <f aca="false">$F40*5</f>
        <v>22500</v>
      </c>
      <c r="G92" s="5" t="n">
        <f aca="false">$F40*6</f>
        <v>27000</v>
      </c>
      <c r="H92" s="5" t="n">
        <f aca="false">$F40*7</f>
        <v>31500</v>
      </c>
      <c r="I92" s="5" t="n">
        <f aca="false">$F40*8</f>
        <v>36000</v>
      </c>
      <c r="J92" s="5" t="n">
        <f aca="false">$F40*9</f>
        <v>40500</v>
      </c>
      <c r="K92" s="5" t="n">
        <f aca="false">$F40*10</f>
        <v>45000</v>
      </c>
      <c r="L92" s="5" t="n">
        <f aca="false">$F40*11</f>
        <v>49500</v>
      </c>
      <c r="M92" s="5" t="n">
        <f aca="false">$F40*12</f>
        <v>54000</v>
      </c>
      <c r="N92" s="5" t="n">
        <f aca="false">$F40*13</f>
        <v>58500</v>
      </c>
      <c r="O92" s="5" t="n">
        <f aca="false">$F40*14</f>
        <v>63000</v>
      </c>
      <c r="P92" s="5" t="n">
        <f aca="false">$F40*15</f>
        <v>67500</v>
      </c>
      <c r="Q92" s="5" t="n">
        <f aca="false">$F40*16</f>
        <v>72000</v>
      </c>
      <c r="R92" s="5" t="n">
        <f aca="false">$F40*17</f>
        <v>76500</v>
      </c>
      <c r="S92" s="5" t="n">
        <f aca="false">$F40*18</f>
        <v>81000</v>
      </c>
      <c r="T92" s="5" t="n">
        <f aca="false">$F40*19</f>
        <v>85500</v>
      </c>
      <c r="U92" s="5" t="n">
        <f aca="false">$F40*20</f>
        <v>90000</v>
      </c>
    </row>
    <row r="93" customFormat="false" ht="15" hidden="false" customHeight="true" outlineLevel="0" collapsed="false">
      <c r="A93" s="1" t="str">
        <f aca="false">A41</f>
        <v>Treebo Kings Orchid</v>
      </c>
      <c r="B93" s="5" t="n">
        <f aca="false">$F41*1</f>
        <v>2000</v>
      </c>
      <c r="C93" s="5" t="n">
        <f aca="false">$F41*2</f>
        <v>4000</v>
      </c>
      <c r="D93" s="5" t="n">
        <f aca="false">$F41*3</f>
        <v>6000</v>
      </c>
      <c r="E93" s="5" t="n">
        <f aca="false">$F41*4</f>
        <v>8000</v>
      </c>
      <c r="F93" s="5" t="n">
        <f aca="false">$F41*5</f>
        <v>10000</v>
      </c>
      <c r="G93" s="5" t="n">
        <f aca="false">$F41*6</f>
        <v>12000</v>
      </c>
      <c r="H93" s="5" t="n">
        <f aca="false">$F41*7</f>
        <v>14000</v>
      </c>
      <c r="I93" s="5" t="n">
        <f aca="false">$F41*8</f>
        <v>16000</v>
      </c>
      <c r="J93" s="5" t="n">
        <f aca="false">$F41*9</f>
        <v>18000</v>
      </c>
      <c r="K93" s="5" t="n">
        <f aca="false">$F41*10</f>
        <v>20000</v>
      </c>
      <c r="L93" s="5" t="n">
        <f aca="false">$F41*11</f>
        <v>22000</v>
      </c>
      <c r="M93" s="5" t="n">
        <f aca="false">$F41*12</f>
        <v>24000</v>
      </c>
      <c r="N93" s="5" t="n">
        <f aca="false">$F41*13</f>
        <v>26000</v>
      </c>
      <c r="O93" s="5" t="n">
        <f aca="false">$F41*14</f>
        <v>28000</v>
      </c>
      <c r="P93" s="5" t="n">
        <f aca="false">$F41*15</f>
        <v>30000</v>
      </c>
      <c r="Q93" s="5" t="n">
        <f aca="false">$F41*16</f>
        <v>32000</v>
      </c>
      <c r="R93" s="5" t="n">
        <f aca="false">$F41*17</f>
        <v>34000</v>
      </c>
      <c r="S93" s="5" t="n">
        <f aca="false">$F41*18</f>
        <v>36000</v>
      </c>
      <c r="T93" s="5" t="n">
        <f aca="false">$F41*19</f>
        <v>38000</v>
      </c>
      <c r="U93" s="5" t="n">
        <f aca="false">$F41*20</f>
        <v>40000</v>
      </c>
    </row>
    <row r="94" customFormat="false" ht="15" hidden="false" customHeight="true" outlineLevel="0" collapsed="false">
      <c r="A94" s="1" t="str">
        <f aca="false">A42</f>
        <v>Ibis Bengaluru Outer Ring Road</v>
      </c>
      <c r="B94" s="5" t="n">
        <f aca="false">$F42*1</f>
        <v>4800</v>
      </c>
      <c r="C94" s="5" t="n">
        <f aca="false">$F42*2</f>
        <v>9600</v>
      </c>
      <c r="D94" s="5" t="n">
        <f aca="false">$F42*3</f>
        <v>14400</v>
      </c>
      <c r="E94" s="5" t="n">
        <f aca="false">$F42*4</f>
        <v>19200</v>
      </c>
      <c r="F94" s="5" t="n">
        <f aca="false">$F42*5</f>
        <v>24000</v>
      </c>
      <c r="G94" s="5" t="n">
        <f aca="false">$F42*6</f>
        <v>28800</v>
      </c>
      <c r="H94" s="5" t="n">
        <f aca="false">$F42*7</f>
        <v>33600</v>
      </c>
      <c r="I94" s="5" t="n">
        <f aca="false">$F42*8</f>
        <v>38400</v>
      </c>
      <c r="J94" s="5" t="n">
        <f aca="false">$F42*9</f>
        <v>43200</v>
      </c>
      <c r="K94" s="5" t="n">
        <f aca="false">$F42*10</f>
        <v>48000</v>
      </c>
      <c r="L94" s="5" t="n">
        <f aca="false">$F42*11</f>
        <v>52800</v>
      </c>
      <c r="M94" s="5" t="n">
        <f aca="false">$F42*12</f>
        <v>57600</v>
      </c>
      <c r="N94" s="5" t="n">
        <f aca="false">$F42*13</f>
        <v>62400</v>
      </c>
      <c r="O94" s="5" t="n">
        <f aca="false">$F42*14</f>
        <v>67200</v>
      </c>
      <c r="P94" s="5" t="n">
        <f aca="false">$F42*15</f>
        <v>72000</v>
      </c>
      <c r="Q94" s="5" t="n">
        <f aca="false">$F42*16</f>
        <v>76800</v>
      </c>
      <c r="R94" s="5" t="n">
        <f aca="false">$F42*17</f>
        <v>81600</v>
      </c>
      <c r="S94" s="5" t="n">
        <f aca="false">$F42*18</f>
        <v>86400</v>
      </c>
      <c r="T94" s="5" t="n">
        <f aca="false">$F42*19</f>
        <v>91200</v>
      </c>
      <c r="U94" s="5" t="n">
        <f aca="false">$F42*20</f>
        <v>96000</v>
      </c>
    </row>
    <row r="95" customFormat="false" ht="15" hidden="false" customHeight="true" outlineLevel="0" collapsed="false">
      <c r="A95" s="1" t="str">
        <f aca="false">A43</f>
        <v>FabHotel Astra Suites</v>
      </c>
      <c r="B95" s="5" t="n">
        <f aca="false">$F43*1</f>
        <v>1900</v>
      </c>
      <c r="C95" s="5" t="n">
        <f aca="false">$F43*2</f>
        <v>3800</v>
      </c>
      <c r="D95" s="5" t="n">
        <f aca="false">$F43*3</f>
        <v>5700</v>
      </c>
      <c r="E95" s="5" t="n">
        <f aca="false">$F43*4</f>
        <v>7600</v>
      </c>
      <c r="F95" s="5" t="n">
        <f aca="false">$F43*5</f>
        <v>9500</v>
      </c>
      <c r="G95" s="5" t="n">
        <f aca="false">$F43*6</f>
        <v>11400</v>
      </c>
      <c r="H95" s="5" t="n">
        <f aca="false">$F43*7</f>
        <v>13300</v>
      </c>
      <c r="I95" s="5" t="n">
        <f aca="false">$F43*8</f>
        <v>15200</v>
      </c>
      <c r="J95" s="5" t="n">
        <f aca="false">$F43*9</f>
        <v>17100</v>
      </c>
      <c r="K95" s="5" t="n">
        <f aca="false">$F43*10</f>
        <v>19000</v>
      </c>
      <c r="L95" s="5" t="n">
        <f aca="false">$F43*11</f>
        <v>20900</v>
      </c>
      <c r="M95" s="5" t="n">
        <f aca="false">$F43*12</f>
        <v>22800</v>
      </c>
      <c r="N95" s="5" t="n">
        <f aca="false">$F43*13</f>
        <v>24700</v>
      </c>
      <c r="O95" s="5" t="n">
        <f aca="false">$F43*14</f>
        <v>26600</v>
      </c>
      <c r="P95" s="5" t="n">
        <f aca="false">$F43*15</f>
        <v>28500</v>
      </c>
      <c r="Q95" s="5" t="n">
        <f aca="false">$F43*16</f>
        <v>30400</v>
      </c>
      <c r="R95" s="5" t="n">
        <f aca="false">$F43*17</f>
        <v>32300</v>
      </c>
      <c r="S95" s="5" t="n">
        <f aca="false">$F43*18</f>
        <v>34200</v>
      </c>
      <c r="T95" s="5" t="n">
        <f aca="false">$F43*19</f>
        <v>36100</v>
      </c>
      <c r="U95" s="5" t="n">
        <f aca="false">$F43*20</f>
        <v>38000</v>
      </c>
    </row>
    <row r="96" customFormat="false" ht="15" hidden="false" customHeight="true" outlineLevel="0" collapsed="false">
      <c r="A96" s="1" t="str">
        <f aca="false">A44</f>
        <v>FabHotel Seven Olives</v>
      </c>
      <c r="B96" s="5" t="n">
        <f aca="false">$F44*1</f>
        <v>1900</v>
      </c>
      <c r="C96" s="5" t="n">
        <f aca="false">$F44*2</f>
        <v>3800</v>
      </c>
      <c r="D96" s="5" t="n">
        <f aca="false">$F44*3</f>
        <v>5700</v>
      </c>
      <c r="E96" s="5" t="n">
        <f aca="false">$F44*4</f>
        <v>7600</v>
      </c>
      <c r="F96" s="5" t="n">
        <f aca="false">$F44*5</f>
        <v>9500</v>
      </c>
      <c r="G96" s="5" t="n">
        <f aca="false">$F44*6</f>
        <v>11400</v>
      </c>
      <c r="H96" s="5" t="n">
        <f aca="false">$F44*7</f>
        <v>13300</v>
      </c>
      <c r="I96" s="5" t="n">
        <f aca="false">$F44*8</f>
        <v>15200</v>
      </c>
      <c r="J96" s="5" t="n">
        <f aca="false">$F44*9</f>
        <v>17100</v>
      </c>
      <c r="K96" s="5" t="n">
        <f aca="false">$F44*10</f>
        <v>19000</v>
      </c>
      <c r="L96" s="5" t="n">
        <f aca="false">$F44*11</f>
        <v>20900</v>
      </c>
      <c r="M96" s="5" t="n">
        <f aca="false">$F44*12</f>
        <v>22800</v>
      </c>
      <c r="N96" s="5" t="n">
        <f aca="false">$F44*13</f>
        <v>24700</v>
      </c>
      <c r="O96" s="5" t="n">
        <f aca="false">$F44*14</f>
        <v>26600</v>
      </c>
      <c r="P96" s="5" t="n">
        <f aca="false">$F44*15</f>
        <v>28500</v>
      </c>
      <c r="Q96" s="5" t="n">
        <f aca="false">$F44*16</f>
        <v>30400</v>
      </c>
      <c r="R96" s="5" t="n">
        <f aca="false">$F44*17</f>
        <v>32300</v>
      </c>
      <c r="S96" s="5" t="n">
        <f aca="false">$F44*18</f>
        <v>34200</v>
      </c>
      <c r="T96" s="5" t="n">
        <f aca="false">$F44*19</f>
        <v>36100</v>
      </c>
      <c r="U96" s="5" t="n">
        <f aca="false">$F44*20</f>
        <v>38000</v>
      </c>
    </row>
    <row r="97" customFormat="false" ht="15" hidden="false" customHeight="true" outlineLevel="0" collapsed="false">
      <c r="A97" s="1" t="str">
        <f aca="false">A45</f>
        <v>Hotel near Jayanagar 4th Block</v>
      </c>
      <c r="B97" s="5" t="n">
        <f aca="false">$F45*1</f>
        <v>3000</v>
      </c>
      <c r="C97" s="5" t="n">
        <f aca="false">$F45*2</f>
        <v>6000</v>
      </c>
      <c r="D97" s="5" t="n">
        <f aca="false">$F45*3</f>
        <v>9000</v>
      </c>
      <c r="E97" s="5" t="n">
        <f aca="false">$F45*4</f>
        <v>12000</v>
      </c>
      <c r="F97" s="5" t="n">
        <f aca="false">$F45*5</f>
        <v>15000</v>
      </c>
      <c r="G97" s="5" t="n">
        <f aca="false">$F45*6</f>
        <v>18000</v>
      </c>
      <c r="H97" s="5" t="n">
        <f aca="false">$F45*7</f>
        <v>21000</v>
      </c>
      <c r="I97" s="5" t="n">
        <f aca="false">$F45*8</f>
        <v>24000</v>
      </c>
      <c r="J97" s="5" t="n">
        <f aca="false">$F45*9</f>
        <v>27000</v>
      </c>
      <c r="K97" s="5" t="n">
        <f aca="false">$F45*10</f>
        <v>30000</v>
      </c>
      <c r="L97" s="5" t="n">
        <f aca="false">$F45*11</f>
        <v>33000</v>
      </c>
      <c r="M97" s="5" t="n">
        <f aca="false">$F45*12</f>
        <v>36000</v>
      </c>
      <c r="N97" s="5" t="n">
        <f aca="false">$F45*13</f>
        <v>39000</v>
      </c>
      <c r="O97" s="5" t="n">
        <f aca="false">$F45*14</f>
        <v>42000</v>
      </c>
      <c r="P97" s="5" t="n">
        <f aca="false">$F45*15</f>
        <v>45000</v>
      </c>
      <c r="Q97" s="5" t="n">
        <f aca="false">$F45*16</f>
        <v>48000</v>
      </c>
      <c r="R97" s="5" t="n">
        <f aca="false">$F45*17</f>
        <v>51000</v>
      </c>
      <c r="S97" s="5" t="n">
        <f aca="false">$F45*18</f>
        <v>54000</v>
      </c>
      <c r="T97" s="5" t="n">
        <f aca="false">$F45*19</f>
        <v>57000</v>
      </c>
      <c r="U97" s="5" t="n">
        <f aca="false">$F45*20</f>
        <v>60000</v>
      </c>
    </row>
    <row r="98" customFormat="false" ht="15" hidden="false" customHeight="true" outlineLevel="0" collapsed="false">
      <c r="A98" s="1" t="str">
        <f aca="false">A46</f>
        <v>Hotel in St. Thomas Town</v>
      </c>
      <c r="B98" s="5" t="n">
        <f aca="false">$F46*1</f>
        <v>1800</v>
      </c>
      <c r="C98" s="5" t="n">
        <f aca="false">$F46*2</f>
        <v>3600</v>
      </c>
      <c r="D98" s="5" t="n">
        <f aca="false">$F46*3</f>
        <v>5400</v>
      </c>
      <c r="E98" s="5" t="n">
        <f aca="false">$F46*4</f>
        <v>7200</v>
      </c>
      <c r="F98" s="5" t="n">
        <f aca="false">$F46*5</f>
        <v>9000</v>
      </c>
      <c r="G98" s="5" t="n">
        <f aca="false">$F46*6</f>
        <v>10800</v>
      </c>
      <c r="H98" s="5" t="n">
        <f aca="false">$F46*7</f>
        <v>12600</v>
      </c>
      <c r="I98" s="5" t="n">
        <f aca="false">$F46*8</f>
        <v>14400</v>
      </c>
      <c r="J98" s="5" t="n">
        <f aca="false">$F46*9</f>
        <v>16200</v>
      </c>
      <c r="K98" s="5" t="n">
        <f aca="false">$F46*10</f>
        <v>18000</v>
      </c>
      <c r="L98" s="5" t="n">
        <f aca="false">$F46*11</f>
        <v>19800</v>
      </c>
      <c r="M98" s="5" t="n">
        <f aca="false">$F46*12</f>
        <v>21600</v>
      </c>
      <c r="N98" s="5" t="n">
        <f aca="false">$F46*13</f>
        <v>23400</v>
      </c>
      <c r="O98" s="5" t="n">
        <f aca="false">$F46*14</f>
        <v>25200</v>
      </c>
      <c r="P98" s="5" t="n">
        <f aca="false">$F46*15</f>
        <v>27000</v>
      </c>
      <c r="Q98" s="5" t="n">
        <f aca="false">$F46*16</f>
        <v>28800</v>
      </c>
      <c r="R98" s="5" t="n">
        <f aca="false">$F46*17</f>
        <v>30600</v>
      </c>
      <c r="S98" s="5" t="n">
        <f aca="false">$F46*18</f>
        <v>32400</v>
      </c>
      <c r="T98" s="5" t="n">
        <f aca="false">$F46*19</f>
        <v>34200</v>
      </c>
      <c r="U98" s="5" t="n">
        <f aca="false">$F46*20</f>
        <v>36000</v>
      </c>
    </row>
    <row r="99" customFormat="false" ht="15" hidden="false" customHeight="true" outlineLevel="0" collapsed="false">
      <c r="A99" s="1" t="str">
        <f aca="false">A47</f>
        <v>Hotel in HRBR Layout</v>
      </c>
      <c r="B99" s="5" t="n">
        <f aca="false">$F47*1</f>
        <v>3200</v>
      </c>
      <c r="C99" s="5" t="n">
        <f aca="false">$F47*2</f>
        <v>6400</v>
      </c>
      <c r="D99" s="5" t="n">
        <f aca="false">$F47*3</f>
        <v>9600</v>
      </c>
      <c r="E99" s="5" t="n">
        <f aca="false">$F47*4</f>
        <v>12800</v>
      </c>
      <c r="F99" s="5" t="n">
        <f aca="false">$F47*5</f>
        <v>16000</v>
      </c>
      <c r="G99" s="5" t="n">
        <f aca="false">$F47*6</f>
        <v>19200</v>
      </c>
      <c r="H99" s="5" t="n">
        <f aca="false">$F47*7</f>
        <v>22400</v>
      </c>
      <c r="I99" s="5" t="n">
        <f aca="false">$F47*8</f>
        <v>25600</v>
      </c>
      <c r="J99" s="5" t="n">
        <f aca="false">$F47*9</f>
        <v>28800</v>
      </c>
      <c r="K99" s="5" t="n">
        <f aca="false">$F47*10</f>
        <v>32000</v>
      </c>
      <c r="L99" s="5" t="n">
        <f aca="false">$F47*11</f>
        <v>35200</v>
      </c>
      <c r="M99" s="5" t="n">
        <f aca="false">$F47*12</f>
        <v>38400</v>
      </c>
      <c r="N99" s="5" t="n">
        <f aca="false">$F47*13</f>
        <v>41600</v>
      </c>
      <c r="O99" s="5" t="n">
        <f aca="false">$F47*14</f>
        <v>44800</v>
      </c>
      <c r="P99" s="5" t="n">
        <f aca="false">$F47*15</f>
        <v>48000</v>
      </c>
      <c r="Q99" s="5" t="n">
        <f aca="false">$F47*16</f>
        <v>51200</v>
      </c>
      <c r="R99" s="5" t="n">
        <f aca="false">$F47*17</f>
        <v>54400</v>
      </c>
      <c r="S99" s="5" t="n">
        <f aca="false">$F47*18</f>
        <v>57600</v>
      </c>
      <c r="T99" s="5" t="n">
        <f aca="false">$F47*19</f>
        <v>60800</v>
      </c>
      <c r="U99" s="5" t="n">
        <f aca="false">$F47*20</f>
        <v>64000</v>
      </c>
    </row>
    <row r="100" customFormat="false" ht="15" hidden="false" customHeight="true" outlineLevel="0" collapsed="false">
      <c r="A100" s="1" t="str">
        <f aca="false">A48</f>
        <v>Hotel in Kammanahalli</v>
      </c>
      <c r="B100" s="5" t="n">
        <f aca="false">$F48*1</f>
        <v>2900</v>
      </c>
      <c r="C100" s="5" t="n">
        <f aca="false">$F48*2</f>
        <v>5800</v>
      </c>
      <c r="D100" s="5" t="n">
        <f aca="false">$F48*3</f>
        <v>8700</v>
      </c>
      <c r="E100" s="5" t="n">
        <f aca="false">$F48*4</f>
        <v>11600</v>
      </c>
      <c r="F100" s="5" t="n">
        <f aca="false">$F48*5</f>
        <v>14500</v>
      </c>
      <c r="G100" s="5" t="n">
        <f aca="false">$F48*6</f>
        <v>17400</v>
      </c>
      <c r="H100" s="5" t="n">
        <f aca="false">$F48*7</f>
        <v>20300</v>
      </c>
      <c r="I100" s="5" t="n">
        <f aca="false">$F48*8</f>
        <v>23200</v>
      </c>
      <c r="J100" s="5" t="n">
        <f aca="false">$F48*9</f>
        <v>26100</v>
      </c>
      <c r="K100" s="5" t="n">
        <f aca="false">$F48*10</f>
        <v>29000</v>
      </c>
      <c r="L100" s="5" t="n">
        <f aca="false">$F48*11</f>
        <v>31900</v>
      </c>
      <c r="M100" s="5" t="n">
        <f aca="false">$F48*12</f>
        <v>34800</v>
      </c>
      <c r="N100" s="5" t="n">
        <f aca="false">$F48*13</f>
        <v>37700</v>
      </c>
      <c r="O100" s="5" t="n">
        <f aca="false">$F48*14</f>
        <v>40600</v>
      </c>
      <c r="P100" s="5" t="n">
        <f aca="false">$F48*15</f>
        <v>43500</v>
      </c>
      <c r="Q100" s="5" t="n">
        <f aca="false">$F48*16</f>
        <v>46400</v>
      </c>
      <c r="R100" s="5" t="n">
        <f aca="false">$F48*17</f>
        <v>49300</v>
      </c>
      <c r="S100" s="5" t="n">
        <f aca="false">$F48*18</f>
        <v>52200</v>
      </c>
      <c r="T100" s="5" t="n">
        <f aca="false">$F48*19</f>
        <v>55100</v>
      </c>
      <c r="U100" s="5" t="n">
        <f aca="false">$F48*20</f>
        <v>58000</v>
      </c>
    </row>
    <row r="101" customFormat="false" ht="15" hidden="false" customHeight="true" outlineLevel="0" collapsed="false">
      <c r="A101" s="1" t="str">
        <f aca="false">A49</f>
        <v>Hotel in Hennur</v>
      </c>
      <c r="B101" s="5" t="n">
        <f aca="false">$F49*1</f>
        <v>3000</v>
      </c>
      <c r="C101" s="5" t="n">
        <f aca="false">$F49*2</f>
        <v>6000</v>
      </c>
      <c r="D101" s="5" t="n">
        <f aca="false">$F49*3</f>
        <v>9000</v>
      </c>
      <c r="E101" s="5" t="n">
        <f aca="false">$F49*4</f>
        <v>12000</v>
      </c>
      <c r="F101" s="5" t="n">
        <f aca="false">$F49*5</f>
        <v>15000</v>
      </c>
      <c r="G101" s="5" t="n">
        <f aca="false">$F49*6</f>
        <v>18000</v>
      </c>
      <c r="H101" s="5" t="n">
        <f aca="false">$F49*7</f>
        <v>21000</v>
      </c>
      <c r="I101" s="5" t="n">
        <f aca="false">$F49*8</f>
        <v>24000</v>
      </c>
      <c r="J101" s="5" t="n">
        <f aca="false">$F49*9</f>
        <v>27000</v>
      </c>
      <c r="K101" s="5" t="n">
        <f aca="false">$F49*10</f>
        <v>30000</v>
      </c>
      <c r="L101" s="5" t="n">
        <f aca="false">$F49*11</f>
        <v>33000</v>
      </c>
      <c r="M101" s="5" t="n">
        <f aca="false">$F49*12</f>
        <v>36000</v>
      </c>
      <c r="N101" s="5" t="n">
        <f aca="false">$F49*13</f>
        <v>39000</v>
      </c>
      <c r="O101" s="5" t="n">
        <f aca="false">$F49*14</f>
        <v>42000</v>
      </c>
      <c r="P101" s="5" t="n">
        <f aca="false">$F49*15</f>
        <v>45000</v>
      </c>
      <c r="Q101" s="5" t="n">
        <f aca="false">$F49*16</f>
        <v>48000</v>
      </c>
      <c r="R101" s="5" t="n">
        <f aca="false">$F49*17</f>
        <v>51000</v>
      </c>
      <c r="S101" s="5" t="n">
        <f aca="false">$F49*18</f>
        <v>54000</v>
      </c>
      <c r="T101" s="5" t="n">
        <f aca="false">$F49*19</f>
        <v>57000</v>
      </c>
      <c r="U101" s="5" t="n">
        <f aca="false">$F49*20</f>
        <v>60000</v>
      </c>
    </row>
    <row r="102" customFormat="false" ht="15" hidden="false" customHeight="true" outlineLevel="0" collapsed="false">
      <c r="A102" s="1" t="str">
        <f aca="false">A50</f>
        <v>Hotel in Sivanchetti Gardens</v>
      </c>
      <c r="B102" s="5" t="n">
        <f aca="false">$F50*1</f>
        <v>8500</v>
      </c>
      <c r="C102" s="5" t="n">
        <f aca="false">$F50*2</f>
        <v>17000</v>
      </c>
      <c r="D102" s="5" t="n">
        <f aca="false">$F50*3</f>
        <v>25500</v>
      </c>
      <c r="E102" s="5" t="n">
        <f aca="false">$F50*4</f>
        <v>34000</v>
      </c>
      <c r="F102" s="5" t="n">
        <f aca="false">$F50*5</f>
        <v>42500</v>
      </c>
      <c r="G102" s="5" t="n">
        <f aca="false">$F50*6</f>
        <v>51000</v>
      </c>
      <c r="H102" s="5" t="n">
        <f aca="false">$F50*7</f>
        <v>59500</v>
      </c>
      <c r="I102" s="5" t="n">
        <f aca="false">$F50*8</f>
        <v>68000</v>
      </c>
      <c r="J102" s="5" t="n">
        <f aca="false">$F50*9</f>
        <v>76500</v>
      </c>
      <c r="K102" s="5" t="n">
        <f aca="false">$F50*10</f>
        <v>85000</v>
      </c>
      <c r="L102" s="5" t="n">
        <f aca="false">$F50*11</f>
        <v>93500</v>
      </c>
      <c r="M102" s="5" t="n">
        <f aca="false">$F50*12</f>
        <v>102000</v>
      </c>
      <c r="N102" s="5" t="n">
        <f aca="false">$F50*13</f>
        <v>110500</v>
      </c>
      <c r="O102" s="5" t="n">
        <f aca="false">$F50*14</f>
        <v>119000</v>
      </c>
      <c r="P102" s="5" t="n">
        <f aca="false">$F50*15</f>
        <v>127500</v>
      </c>
      <c r="Q102" s="5" t="n">
        <f aca="false">$F50*16</f>
        <v>136000</v>
      </c>
      <c r="R102" s="5" t="n">
        <f aca="false">$F50*17</f>
        <v>144500</v>
      </c>
      <c r="S102" s="5" t="n">
        <f aca="false">$F50*18</f>
        <v>153000</v>
      </c>
      <c r="T102" s="5" t="n">
        <f aca="false">$F50*19</f>
        <v>161500</v>
      </c>
      <c r="U102" s="5" t="n">
        <f aca="false">$F50*20</f>
        <v>170000</v>
      </c>
    </row>
    <row r="103" customFormat="false" ht="15" hidden="false" customHeight="true" outlineLevel="0" collapsed="false">
      <c r="A103" s="1" t="str">
        <f aca="false">A51</f>
        <v>Hotel on Ulsoor Lake</v>
      </c>
      <c r="B103" s="5" t="n">
        <f aca="false">$F51*1</f>
        <v>16500</v>
      </c>
      <c r="C103" s="5" t="n">
        <f aca="false">$F51*2</f>
        <v>33000</v>
      </c>
      <c r="D103" s="5" t="n">
        <f aca="false">$F51*3</f>
        <v>49500</v>
      </c>
      <c r="E103" s="5" t="n">
        <f aca="false">$F51*4</f>
        <v>66000</v>
      </c>
      <c r="F103" s="5" t="n">
        <f aca="false">$F51*5</f>
        <v>82500</v>
      </c>
      <c r="G103" s="5" t="n">
        <f aca="false">$F51*6</f>
        <v>99000</v>
      </c>
      <c r="H103" s="5" t="n">
        <f aca="false">$F51*7</f>
        <v>115500</v>
      </c>
      <c r="I103" s="5" t="n">
        <f aca="false">$F51*8</f>
        <v>132000</v>
      </c>
      <c r="J103" s="5" t="n">
        <f aca="false">$F51*9</f>
        <v>148500</v>
      </c>
      <c r="K103" s="5" t="n">
        <f aca="false">$F51*10</f>
        <v>165000</v>
      </c>
      <c r="L103" s="5" t="n">
        <f aca="false">$F51*11</f>
        <v>181500</v>
      </c>
      <c r="M103" s="5" t="n">
        <f aca="false">$F51*12</f>
        <v>198000</v>
      </c>
      <c r="N103" s="5" t="n">
        <f aca="false">$F51*13</f>
        <v>214500</v>
      </c>
      <c r="O103" s="5" t="n">
        <f aca="false">$F51*14</f>
        <v>231000</v>
      </c>
      <c r="P103" s="5" t="n">
        <f aca="false">$F51*15</f>
        <v>247500</v>
      </c>
      <c r="Q103" s="5" t="n">
        <f aca="false">$F51*16</f>
        <v>264000</v>
      </c>
      <c r="R103" s="5" t="n">
        <f aca="false">$F51*17</f>
        <v>280500</v>
      </c>
      <c r="S103" s="5" t="n">
        <f aca="false">$F51*18</f>
        <v>297000</v>
      </c>
      <c r="T103" s="5" t="n">
        <f aca="false">$F51*19</f>
        <v>313500</v>
      </c>
      <c r="U103" s="5" t="n">
        <f aca="false">$F51*20</f>
        <v>330000</v>
      </c>
    </row>
    <row r="104" customFormat="false" ht="15" hidden="false" customHeight="true" outlineLevel="0" collapsed="false">
      <c r="A104" s="1" t="str">
        <f aca="false">A52</f>
        <v>Grand Mercure Bengaluru at Gopalan Mall</v>
      </c>
      <c r="B104" s="5" t="n">
        <f aca="false">$F52*1</f>
        <v>9200</v>
      </c>
      <c r="C104" s="5" t="n">
        <f aca="false">$F52*2</f>
        <v>18400</v>
      </c>
      <c r="D104" s="5" t="n">
        <f aca="false">$F52*3</f>
        <v>27600</v>
      </c>
      <c r="E104" s="5" t="n">
        <f aca="false">$F52*4</f>
        <v>36800</v>
      </c>
      <c r="F104" s="5" t="n">
        <f aca="false">$F52*5</f>
        <v>46000</v>
      </c>
      <c r="G104" s="5" t="n">
        <f aca="false">$F52*6</f>
        <v>55200</v>
      </c>
      <c r="H104" s="5" t="n">
        <f aca="false">$F52*7</f>
        <v>64400</v>
      </c>
      <c r="I104" s="5" t="n">
        <f aca="false">$F52*8</f>
        <v>73600</v>
      </c>
      <c r="J104" s="5" t="n">
        <f aca="false">$F52*9</f>
        <v>82800</v>
      </c>
      <c r="K104" s="5" t="n">
        <f aca="false">$F52*10</f>
        <v>92000</v>
      </c>
      <c r="L104" s="5" t="n">
        <f aca="false">$F52*11</f>
        <v>101200</v>
      </c>
      <c r="M104" s="5" t="n">
        <f aca="false">$F52*12</f>
        <v>110400</v>
      </c>
      <c r="N104" s="5" t="n">
        <f aca="false">$F52*13</f>
        <v>119600</v>
      </c>
      <c r="O104" s="5" t="n">
        <f aca="false">$F52*14</f>
        <v>128800</v>
      </c>
      <c r="P104" s="5" t="n">
        <f aca="false">$F52*15</f>
        <v>138000</v>
      </c>
      <c r="Q104" s="5" t="n">
        <f aca="false">$F52*16</f>
        <v>147200</v>
      </c>
      <c r="R104" s="5" t="n">
        <f aca="false">$F52*17</f>
        <v>156400</v>
      </c>
      <c r="S104" s="5" t="n">
        <f aca="false">$F52*18</f>
        <v>165600</v>
      </c>
      <c r="T104" s="5" t="n">
        <f aca="false">$F52*19</f>
        <v>174800</v>
      </c>
      <c r="U104" s="5" t="n">
        <f aca="false">$F52*20</f>
        <v>184000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26" min="7" style="0" width="10"/>
  </cols>
  <sheetData>
    <row r="1" customFormat="false" ht="17.35" hidden="false" customHeight="false" outlineLevel="0" collapsed="false">
      <c r="A1" s="8" t="s">
        <v>167</v>
      </c>
    </row>
    <row r="2" customFormat="false" ht="15" hidden="false" customHeight="false" outlineLevel="0" collapsed="false">
      <c r="A2" s="9" t="s">
        <v>168</v>
      </c>
    </row>
    <row r="4" customFormat="false" ht="29.85" hidden="false" customHeight="false" outlineLevel="0" collapsed="false">
      <c r="A4" s="7" t="s">
        <v>169</v>
      </c>
      <c r="B4" s="7" t="s">
        <v>170</v>
      </c>
      <c r="C4" s="7" t="s">
        <v>171</v>
      </c>
      <c r="D4" s="7" t="s">
        <v>172</v>
      </c>
      <c r="E4" s="7" t="s">
        <v>173</v>
      </c>
      <c r="F4" s="7" t="s">
        <v>174</v>
      </c>
      <c r="G4" s="10" t="s">
        <v>147</v>
      </c>
      <c r="H4" s="10" t="s">
        <v>148</v>
      </c>
      <c r="I4" s="10" t="s">
        <v>149</v>
      </c>
      <c r="J4" s="10" t="s">
        <v>150</v>
      </c>
      <c r="K4" s="10" t="s">
        <v>151</v>
      </c>
      <c r="L4" s="10" t="s">
        <v>152</v>
      </c>
      <c r="M4" s="10" t="s">
        <v>153</v>
      </c>
      <c r="N4" s="10" t="s">
        <v>154</v>
      </c>
      <c r="O4" s="10" t="s">
        <v>155</v>
      </c>
      <c r="P4" s="10" t="s">
        <v>156</v>
      </c>
      <c r="Q4" s="10" t="s">
        <v>157</v>
      </c>
      <c r="R4" s="10" t="s">
        <v>158</v>
      </c>
      <c r="S4" s="10" t="s">
        <v>159</v>
      </c>
      <c r="T4" s="10" t="s">
        <v>160</v>
      </c>
      <c r="U4" s="10" t="s">
        <v>161</v>
      </c>
      <c r="V4" s="10" t="s">
        <v>162</v>
      </c>
      <c r="W4" s="10" t="s">
        <v>163</v>
      </c>
      <c r="X4" s="10" t="s">
        <v>164</v>
      </c>
      <c r="Y4" s="10" t="s">
        <v>165</v>
      </c>
      <c r="Z4" s="10" t="s">
        <v>166</v>
      </c>
    </row>
    <row r="5" customFormat="false" ht="15" hidden="false" customHeight="false" outlineLevel="0" collapsed="false">
      <c r="A5" s="0" t="s">
        <v>45</v>
      </c>
      <c r="B5" s="0" t="s">
        <v>141</v>
      </c>
      <c r="C5" s="0" t="n">
        <v>5</v>
      </c>
      <c r="D5" s="0" t="n">
        <v>3.9</v>
      </c>
      <c r="E5" s="11" t="n">
        <v>7567</v>
      </c>
      <c r="F5" s="11" t="n">
        <v>2254</v>
      </c>
      <c r="G5" s="11" t="n">
        <f aca="false">$E5*1</f>
        <v>7567</v>
      </c>
      <c r="H5" s="11" t="n">
        <f aca="false">$E5*2</f>
        <v>15134</v>
      </c>
      <c r="I5" s="11" t="n">
        <f aca="false">$E5*3</f>
        <v>22701</v>
      </c>
      <c r="J5" s="11" t="n">
        <f aca="false">$E5*4</f>
        <v>30268</v>
      </c>
      <c r="K5" s="11" t="n">
        <f aca="false">$E5*5</f>
        <v>37835</v>
      </c>
      <c r="L5" s="11" t="n">
        <f aca="false">$E5*6</f>
        <v>45402</v>
      </c>
      <c r="M5" s="11" t="n">
        <f aca="false">$E5*7</f>
        <v>52969</v>
      </c>
      <c r="N5" s="11" t="n">
        <f aca="false">$E5*8</f>
        <v>60536</v>
      </c>
      <c r="O5" s="11" t="n">
        <f aca="false">$E5*9</f>
        <v>68103</v>
      </c>
      <c r="P5" s="11" t="n">
        <f aca="false">$E5*10</f>
        <v>75670</v>
      </c>
      <c r="Q5" s="11" t="n">
        <f aca="false">$E5*11</f>
        <v>83237</v>
      </c>
      <c r="R5" s="11" t="n">
        <f aca="false">$E5*12</f>
        <v>90804</v>
      </c>
      <c r="S5" s="11" t="n">
        <f aca="false">$E5*13</f>
        <v>98371</v>
      </c>
      <c r="T5" s="11" t="n">
        <f aca="false">$E5*14</f>
        <v>105938</v>
      </c>
      <c r="U5" s="11" t="n">
        <f aca="false">$E5*15</f>
        <v>113505</v>
      </c>
      <c r="V5" s="11" t="n">
        <f aca="false">$E5*16</f>
        <v>121072</v>
      </c>
      <c r="W5" s="11" t="n">
        <f aca="false">$E5*17</f>
        <v>128639</v>
      </c>
      <c r="X5" s="11" t="n">
        <f aca="false">$E5*18</f>
        <v>136206</v>
      </c>
      <c r="Y5" s="11" t="n">
        <f aca="false">$E5*19</f>
        <v>143773</v>
      </c>
      <c r="Z5" s="11" t="n">
        <f aca="false">$E5*20</f>
        <v>151340</v>
      </c>
    </row>
    <row r="6" customFormat="false" ht="15" hidden="false" customHeight="false" outlineLevel="0" collapsed="false">
      <c r="A6" s="0" t="s">
        <v>175</v>
      </c>
      <c r="B6" s="0" t="s">
        <v>176</v>
      </c>
      <c r="C6" s="0" t="n">
        <v>4</v>
      </c>
      <c r="D6" s="0" t="n">
        <v>4</v>
      </c>
      <c r="E6" s="11" t="n">
        <v>1509</v>
      </c>
      <c r="F6" s="11" t="n">
        <v>531</v>
      </c>
      <c r="G6" s="11" t="n">
        <f aca="false">$E6*1</f>
        <v>1509</v>
      </c>
      <c r="H6" s="11" t="n">
        <f aca="false">$E6*2</f>
        <v>3018</v>
      </c>
      <c r="I6" s="11" t="n">
        <f aca="false">$E6*3</f>
        <v>4527</v>
      </c>
      <c r="J6" s="11" t="n">
        <f aca="false">$E6*4</f>
        <v>6036</v>
      </c>
      <c r="K6" s="11" t="n">
        <f aca="false">$E6*5</f>
        <v>7545</v>
      </c>
      <c r="L6" s="11" t="n">
        <f aca="false">$E6*6</f>
        <v>9054</v>
      </c>
      <c r="M6" s="11" t="n">
        <f aca="false">$E6*7</f>
        <v>10563</v>
      </c>
      <c r="N6" s="11" t="n">
        <f aca="false">$E6*8</f>
        <v>12072</v>
      </c>
      <c r="O6" s="11" t="n">
        <f aca="false">$E6*9</f>
        <v>13581</v>
      </c>
      <c r="P6" s="11" t="n">
        <f aca="false">$E6*10</f>
        <v>15090</v>
      </c>
      <c r="Q6" s="11" t="n">
        <f aca="false">$E6*11</f>
        <v>16599</v>
      </c>
      <c r="R6" s="11" t="n">
        <f aca="false">$E6*12</f>
        <v>18108</v>
      </c>
      <c r="S6" s="11" t="n">
        <f aca="false">$E6*13</f>
        <v>19617</v>
      </c>
      <c r="T6" s="11" t="n">
        <f aca="false">$E6*14</f>
        <v>21126</v>
      </c>
      <c r="U6" s="11" t="n">
        <f aca="false">$E6*15</f>
        <v>22635</v>
      </c>
      <c r="V6" s="11" t="n">
        <f aca="false">$E6*16</f>
        <v>24144</v>
      </c>
      <c r="W6" s="11" t="n">
        <f aca="false">$E6*17</f>
        <v>25653</v>
      </c>
      <c r="X6" s="11" t="n">
        <f aca="false">$E6*18</f>
        <v>27162</v>
      </c>
      <c r="Y6" s="11" t="n">
        <f aca="false">$E6*19</f>
        <v>28671</v>
      </c>
      <c r="Z6" s="11" t="n">
        <f aca="false">$E6*20</f>
        <v>30180</v>
      </c>
    </row>
    <row r="7" customFormat="false" ht="15" hidden="false" customHeight="false" outlineLevel="0" collapsed="false">
      <c r="A7" s="0" t="s">
        <v>177</v>
      </c>
      <c r="B7" s="0" t="s">
        <v>178</v>
      </c>
      <c r="C7" s="0" t="n">
        <v>5</v>
      </c>
      <c r="D7" s="0" t="n">
        <v>4.4</v>
      </c>
      <c r="E7" s="11" t="n">
        <v>9900</v>
      </c>
      <c r="F7" s="11"/>
      <c r="G7" s="11" t="n">
        <f aca="false">$E7*1</f>
        <v>9900</v>
      </c>
      <c r="H7" s="11" t="n">
        <f aca="false">$E7*2</f>
        <v>19800</v>
      </c>
      <c r="I7" s="11" t="n">
        <f aca="false">$E7*3</f>
        <v>29700</v>
      </c>
      <c r="J7" s="11" t="n">
        <f aca="false">$E7*4</f>
        <v>39600</v>
      </c>
      <c r="K7" s="11" t="n">
        <f aca="false">$E7*5</f>
        <v>49500</v>
      </c>
      <c r="L7" s="11" t="n">
        <f aca="false">$E7*6</f>
        <v>59400</v>
      </c>
      <c r="M7" s="11" t="n">
        <f aca="false">$E7*7</f>
        <v>69300</v>
      </c>
      <c r="N7" s="11" t="n">
        <f aca="false">$E7*8</f>
        <v>79200</v>
      </c>
      <c r="O7" s="11" t="n">
        <f aca="false">$E7*9</f>
        <v>89100</v>
      </c>
      <c r="P7" s="11" t="n">
        <f aca="false">$E7*10</f>
        <v>99000</v>
      </c>
      <c r="Q7" s="11" t="n">
        <f aca="false">$E7*11</f>
        <v>108900</v>
      </c>
      <c r="R7" s="11" t="n">
        <f aca="false">$E7*12</f>
        <v>118800</v>
      </c>
      <c r="S7" s="11" t="n">
        <f aca="false">$E7*13</f>
        <v>128700</v>
      </c>
      <c r="T7" s="11" t="n">
        <f aca="false">$E7*14</f>
        <v>138600</v>
      </c>
      <c r="U7" s="11" t="n">
        <f aca="false">$E7*15</f>
        <v>148500</v>
      </c>
      <c r="V7" s="11" t="n">
        <f aca="false">$E7*16</f>
        <v>158400</v>
      </c>
      <c r="W7" s="11" t="n">
        <f aca="false">$E7*17</f>
        <v>168300</v>
      </c>
      <c r="X7" s="11" t="n">
        <f aca="false">$E7*18</f>
        <v>178200</v>
      </c>
      <c r="Y7" s="11" t="n">
        <f aca="false">$E7*19</f>
        <v>188100</v>
      </c>
      <c r="Z7" s="11" t="n">
        <f aca="false">$E7*20</f>
        <v>198000</v>
      </c>
    </row>
    <row r="8" customFormat="false" ht="15" hidden="false" customHeight="false" outlineLevel="0" collapsed="false">
      <c r="A8" s="0" t="s">
        <v>179</v>
      </c>
      <c r="B8" s="0" t="s">
        <v>180</v>
      </c>
      <c r="C8" s="0" t="n">
        <v>5</v>
      </c>
      <c r="D8" s="0" t="n">
        <v>4</v>
      </c>
      <c r="E8" s="11" t="n">
        <v>2347</v>
      </c>
      <c r="F8" s="11" t="n">
        <v>918</v>
      </c>
      <c r="G8" s="11" t="n">
        <f aca="false">$E8*1</f>
        <v>2347</v>
      </c>
      <c r="H8" s="11" t="n">
        <f aca="false">$E8*2</f>
        <v>4694</v>
      </c>
      <c r="I8" s="11" t="n">
        <f aca="false">$E8*3</f>
        <v>7041</v>
      </c>
      <c r="J8" s="11" t="n">
        <f aca="false">$E8*4</f>
        <v>9388</v>
      </c>
      <c r="K8" s="11" t="n">
        <f aca="false">$E8*5</f>
        <v>11735</v>
      </c>
      <c r="L8" s="11" t="n">
        <f aca="false">$E8*6</f>
        <v>14082</v>
      </c>
      <c r="M8" s="11" t="n">
        <f aca="false">$E8*7</f>
        <v>16429</v>
      </c>
      <c r="N8" s="11" t="n">
        <f aca="false">$E8*8</f>
        <v>18776</v>
      </c>
      <c r="O8" s="11" t="n">
        <f aca="false">$E8*9</f>
        <v>21123</v>
      </c>
      <c r="P8" s="11" t="n">
        <f aca="false">$E8*10</f>
        <v>23470</v>
      </c>
      <c r="Q8" s="11" t="n">
        <f aca="false">$E8*11</f>
        <v>25817</v>
      </c>
      <c r="R8" s="11" t="n">
        <f aca="false">$E8*12</f>
        <v>28164</v>
      </c>
      <c r="S8" s="11" t="n">
        <f aca="false">$E8*13</f>
        <v>30511</v>
      </c>
      <c r="T8" s="11" t="n">
        <f aca="false">$E8*14</f>
        <v>32858</v>
      </c>
      <c r="U8" s="11" t="n">
        <f aca="false">$E8*15</f>
        <v>35205</v>
      </c>
      <c r="V8" s="11" t="n">
        <f aca="false">$E8*16</f>
        <v>37552</v>
      </c>
      <c r="W8" s="11" t="n">
        <f aca="false">$E8*17</f>
        <v>39899</v>
      </c>
      <c r="X8" s="11" t="n">
        <f aca="false">$E8*18</f>
        <v>42246</v>
      </c>
      <c r="Y8" s="11" t="n">
        <f aca="false">$E8*19</f>
        <v>44593</v>
      </c>
      <c r="Z8" s="11" t="n">
        <f aca="false">$E8*20</f>
        <v>46940</v>
      </c>
    </row>
    <row r="9" customFormat="false" ht="15" hidden="false" customHeight="false" outlineLevel="0" collapsed="false">
      <c r="A9" s="0" t="s">
        <v>181</v>
      </c>
      <c r="B9" s="0" t="s">
        <v>182</v>
      </c>
      <c r="C9" s="0" t="n">
        <v>4</v>
      </c>
      <c r="D9" s="0" t="n">
        <v>4</v>
      </c>
      <c r="E9" s="11" t="n">
        <v>2522</v>
      </c>
      <c r="F9" s="11" t="n">
        <v>1014</v>
      </c>
      <c r="G9" s="11" t="n">
        <f aca="false">$E9*1</f>
        <v>2522</v>
      </c>
      <c r="H9" s="11" t="n">
        <f aca="false">$E9*2</f>
        <v>5044</v>
      </c>
      <c r="I9" s="11" t="n">
        <f aca="false">$E9*3</f>
        <v>7566</v>
      </c>
      <c r="J9" s="11" t="n">
        <f aca="false">$E9*4</f>
        <v>10088</v>
      </c>
      <c r="K9" s="11" t="n">
        <f aca="false">$E9*5</f>
        <v>12610</v>
      </c>
      <c r="L9" s="11" t="n">
        <f aca="false">$E9*6</f>
        <v>15132</v>
      </c>
      <c r="M9" s="11" t="n">
        <f aca="false">$E9*7</f>
        <v>17654</v>
      </c>
      <c r="N9" s="11" t="n">
        <f aca="false">$E9*8</f>
        <v>20176</v>
      </c>
      <c r="O9" s="11" t="n">
        <f aca="false">$E9*9</f>
        <v>22698</v>
      </c>
      <c r="P9" s="11" t="n">
        <f aca="false">$E9*10</f>
        <v>25220</v>
      </c>
      <c r="Q9" s="11" t="n">
        <f aca="false">$E9*11</f>
        <v>27742</v>
      </c>
      <c r="R9" s="11" t="n">
        <f aca="false">$E9*12</f>
        <v>30264</v>
      </c>
      <c r="S9" s="11" t="n">
        <f aca="false">$E9*13</f>
        <v>32786</v>
      </c>
      <c r="T9" s="11" t="n">
        <f aca="false">$E9*14</f>
        <v>35308</v>
      </c>
      <c r="U9" s="11" t="n">
        <f aca="false">$E9*15</f>
        <v>37830</v>
      </c>
      <c r="V9" s="11" t="n">
        <f aca="false">$E9*16</f>
        <v>40352</v>
      </c>
      <c r="W9" s="11" t="n">
        <f aca="false">$E9*17</f>
        <v>42874</v>
      </c>
      <c r="X9" s="11" t="n">
        <f aca="false">$E9*18</f>
        <v>45396</v>
      </c>
      <c r="Y9" s="11" t="n">
        <f aca="false">$E9*19</f>
        <v>47918</v>
      </c>
      <c r="Z9" s="11" t="n">
        <f aca="false">$E9*20</f>
        <v>50440</v>
      </c>
    </row>
    <row r="10" customFormat="false" ht="15" hidden="false" customHeight="false" outlineLevel="0" collapsed="false">
      <c r="A10" s="0" t="s">
        <v>183</v>
      </c>
      <c r="B10" s="0" t="s">
        <v>184</v>
      </c>
      <c r="C10" s="0" t="n">
        <v>5</v>
      </c>
      <c r="D10" s="0" t="n">
        <v>3.8</v>
      </c>
      <c r="E10" s="11" t="n">
        <v>6580</v>
      </c>
      <c r="F10" s="11" t="n">
        <v>1540</v>
      </c>
      <c r="G10" s="11" t="n">
        <f aca="false">$E10*1</f>
        <v>6580</v>
      </c>
      <c r="H10" s="11" t="n">
        <f aca="false">$E10*2</f>
        <v>13160</v>
      </c>
      <c r="I10" s="11" t="n">
        <f aca="false">$E10*3</f>
        <v>19740</v>
      </c>
      <c r="J10" s="11" t="n">
        <f aca="false">$E10*4</f>
        <v>26320</v>
      </c>
      <c r="K10" s="11" t="n">
        <f aca="false">$E10*5</f>
        <v>32900</v>
      </c>
      <c r="L10" s="11" t="n">
        <f aca="false">$E10*6</f>
        <v>39480</v>
      </c>
      <c r="M10" s="11" t="n">
        <f aca="false">$E10*7</f>
        <v>46060</v>
      </c>
      <c r="N10" s="11" t="n">
        <f aca="false">$E10*8</f>
        <v>52640</v>
      </c>
      <c r="O10" s="11" t="n">
        <f aca="false">$E10*9</f>
        <v>59220</v>
      </c>
      <c r="P10" s="11" t="n">
        <f aca="false">$E10*10</f>
        <v>65800</v>
      </c>
      <c r="Q10" s="11" t="n">
        <f aca="false">$E10*11</f>
        <v>72380</v>
      </c>
      <c r="R10" s="11" t="n">
        <f aca="false">$E10*12</f>
        <v>78960</v>
      </c>
      <c r="S10" s="11" t="n">
        <f aca="false">$E10*13</f>
        <v>85540</v>
      </c>
      <c r="T10" s="11" t="n">
        <f aca="false">$E10*14</f>
        <v>92120</v>
      </c>
      <c r="U10" s="11" t="n">
        <f aca="false">$E10*15</f>
        <v>98700</v>
      </c>
      <c r="V10" s="11" t="n">
        <f aca="false">$E10*16</f>
        <v>105280</v>
      </c>
      <c r="W10" s="11" t="n">
        <f aca="false">$E10*17</f>
        <v>111860</v>
      </c>
      <c r="X10" s="11" t="n">
        <f aca="false">$E10*18</f>
        <v>118440</v>
      </c>
      <c r="Y10" s="11" t="n">
        <f aca="false">$E10*19</f>
        <v>125020</v>
      </c>
      <c r="Z10" s="11" t="n">
        <f aca="false">$E10*20</f>
        <v>131600</v>
      </c>
    </row>
    <row r="11" customFormat="false" ht="15" hidden="false" customHeight="false" outlineLevel="0" collapsed="false">
      <c r="A11" s="0" t="s">
        <v>185</v>
      </c>
      <c r="B11" s="0" t="s">
        <v>186</v>
      </c>
      <c r="C11" s="0" t="n">
        <v>5</v>
      </c>
      <c r="D11" s="0" t="n">
        <v>4.3</v>
      </c>
      <c r="E11" s="11" t="n">
        <v>10200</v>
      </c>
      <c r="F11" s="11"/>
      <c r="G11" s="11" t="n">
        <f aca="false">$E11*1</f>
        <v>10200</v>
      </c>
      <c r="H11" s="11" t="n">
        <f aca="false">$E11*2</f>
        <v>20400</v>
      </c>
      <c r="I11" s="11" t="n">
        <f aca="false">$E11*3</f>
        <v>30600</v>
      </c>
      <c r="J11" s="11" t="n">
        <f aca="false">$E11*4</f>
        <v>40800</v>
      </c>
      <c r="K11" s="11" t="n">
        <f aca="false">$E11*5</f>
        <v>51000</v>
      </c>
      <c r="L11" s="11" t="n">
        <f aca="false">$E11*6</f>
        <v>61200</v>
      </c>
      <c r="M11" s="11" t="n">
        <f aca="false">$E11*7</f>
        <v>71400</v>
      </c>
      <c r="N11" s="11" t="n">
        <f aca="false">$E11*8</f>
        <v>81600</v>
      </c>
      <c r="O11" s="11" t="n">
        <f aca="false">$E11*9</f>
        <v>91800</v>
      </c>
      <c r="P11" s="11" t="n">
        <f aca="false">$E11*10</f>
        <v>102000</v>
      </c>
      <c r="Q11" s="11" t="n">
        <f aca="false">$E11*11</f>
        <v>112200</v>
      </c>
      <c r="R11" s="11" t="n">
        <f aca="false">$E11*12</f>
        <v>122400</v>
      </c>
      <c r="S11" s="11" t="n">
        <f aca="false">$E11*13</f>
        <v>132600</v>
      </c>
      <c r="T11" s="11" t="n">
        <f aca="false">$E11*14</f>
        <v>142800</v>
      </c>
      <c r="U11" s="11" t="n">
        <f aca="false">$E11*15</f>
        <v>153000</v>
      </c>
      <c r="V11" s="11" t="n">
        <f aca="false">$E11*16</f>
        <v>163200</v>
      </c>
      <c r="W11" s="11" t="n">
        <f aca="false">$E11*17</f>
        <v>173400</v>
      </c>
      <c r="X11" s="11" t="n">
        <f aca="false">$E11*18</f>
        <v>183600</v>
      </c>
      <c r="Y11" s="11" t="n">
        <f aca="false">$E11*19</f>
        <v>193800</v>
      </c>
      <c r="Z11" s="11" t="n">
        <f aca="false">$E11*20</f>
        <v>204000</v>
      </c>
    </row>
    <row r="12" customFormat="false" ht="15" hidden="false" customHeight="false" outlineLevel="0" collapsed="false">
      <c r="A12" s="0" t="s">
        <v>187</v>
      </c>
      <c r="B12" s="0" t="s">
        <v>188</v>
      </c>
      <c r="C12" s="0" t="n">
        <v>4</v>
      </c>
      <c r="D12" s="0" t="n">
        <v>4.1</v>
      </c>
      <c r="E12" s="11" t="n">
        <v>2598</v>
      </c>
      <c r="F12" s="11" t="n">
        <v>1016</v>
      </c>
      <c r="G12" s="11" t="n">
        <f aca="false">$E12*1</f>
        <v>2598</v>
      </c>
      <c r="H12" s="11" t="n">
        <f aca="false">$E12*2</f>
        <v>5196</v>
      </c>
      <c r="I12" s="11" t="n">
        <f aca="false">$E12*3</f>
        <v>7794</v>
      </c>
      <c r="J12" s="11" t="n">
        <f aca="false">$E12*4</f>
        <v>10392</v>
      </c>
      <c r="K12" s="11" t="n">
        <f aca="false">$E12*5</f>
        <v>12990</v>
      </c>
      <c r="L12" s="11" t="n">
        <f aca="false">$E12*6</f>
        <v>15588</v>
      </c>
      <c r="M12" s="11" t="n">
        <f aca="false">$E12*7</f>
        <v>18186</v>
      </c>
      <c r="N12" s="11" t="n">
        <f aca="false">$E12*8</f>
        <v>20784</v>
      </c>
      <c r="O12" s="11" t="n">
        <f aca="false">$E12*9</f>
        <v>23382</v>
      </c>
      <c r="P12" s="11" t="n">
        <f aca="false">$E12*10</f>
        <v>25980</v>
      </c>
      <c r="Q12" s="11" t="n">
        <f aca="false">$E12*11</f>
        <v>28578</v>
      </c>
      <c r="R12" s="11" t="n">
        <f aca="false">$E12*12</f>
        <v>31176</v>
      </c>
      <c r="S12" s="11" t="n">
        <f aca="false">$E12*13</f>
        <v>33774</v>
      </c>
      <c r="T12" s="11" t="n">
        <f aca="false">$E12*14</f>
        <v>36372</v>
      </c>
      <c r="U12" s="11" t="n">
        <f aca="false">$E12*15</f>
        <v>38970</v>
      </c>
      <c r="V12" s="11" t="n">
        <f aca="false">$E12*16</f>
        <v>41568</v>
      </c>
      <c r="W12" s="11" t="n">
        <f aca="false">$E12*17</f>
        <v>44166</v>
      </c>
      <c r="X12" s="11" t="n">
        <f aca="false">$E12*18</f>
        <v>46764</v>
      </c>
      <c r="Y12" s="11" t="n">
        <f aca="false">$E12*19</f>
        <v>49362</v>
      </c>
      <c r="Z12" s="11" t="n">
        <f aca="false">$E12*20</f>
        <v>51960</v>
      </c>
    </row>
    <row r="13" customFormat="false" ht="15" hidden="false" customHeight="false" outlineLevel="0" collapsed="false">
      <c r="A13" s="0" t="s">
        <v>189</v>
      </c>
      <c r="B13" s="0" t="s">
        <v>190</v>
      </c>
      <c r="C13" s="0" t="n">
        <v>5</v>
      </c>
      <c r="D13" s="0" t="n">
        <v>4.3</v>
      </c>
      <c r="E13" s="11" t="n">
        <v>7700</v>
      </c>
      <c r="F13" s="11"/>
      <c r="G13" s="11" t="n">
        <f aca="false">$E13*1</f>
        <v>7700</v>
      </c>
      <c r="H13" s="11" t="n">
        <f aca="false">$E13*2</f>
        <v>15400</v>
      </c>
      <c r="I13" s="11" t="n">
        <f aca="false">$E13*3</f>
        <v>23100</v>
      </c>
      <c r="J13" s="11" t="n">
        <f aca="false">$E13*4</f>
        <v>30800</v>
      </c>
      <c r="K13" s="11" t="n">
        <f aca="false">$E13*5</f>
        <v>38500</v>
      </c>
      <c r="L13" s="11" t="n">
        <f aca="false">$E13*6</f>
        <v>46200</v>
      </c>
      <c r="M13" s="11" t="n">
        <f aca="false">$E13*7</f>
        <v>53900</v>
      </c>
      <c r="N13" s="11" t="n">
        <f aca="false">$E13*8</f>
        <v>61600</v>
      </c>
      <c r="O13" s="11" t="n">
        <f aca="false">$E13*9</f>
        <v>69300</v>
      </c>
      <c r="P13" s="11" t="n">
        <f aca="false">$E13*10</f>
        <v>77000</v>
      </c>
      <c r="Q13" s="11" t="n">
        <f aca="false">$E13*11</f>
        <v>84700</v>
      </c>
      <c r="R13" s="11" t="n">
        <f aca="false">$E13*12</f>
        <v>92400</v>
      </c>
      <c r="S13" s="11" t="n">
        <f aca="false">$E13*13</f>
        <v>100100</v>
      </c>
      <c r="T13" s="11" t="n">
        <f aca="false">$E13*14</f>
        <v>107800</v>
      </c>
      <c r="U13" s="11" t="n">
        <f aca="false">$E13*15</f>
        <v>115500</v>
      </c>
      <c r="V13" s="11" t="n">
        <f aca="false">$E13*16</f>
        <v>123200</v>
      </c>
      <c r="W13" s="11" t="n">
        <f aca="false">$E13*17</f>
        <v>130900</v>
      </c>
      <c r="X13" s="11" t="n">
        <f aca="false">$E13*18</f>
        <v>138600</v>
      </c>
      <c r="Y13" s="11" t="n">
        <f aca="false">$E13*19</f>
        <v>146300</v>
      </c>
      <c r="Z13" s="11" t="n">
        <f aca="false">$E13*20</f>
        <v>154000</v>
      </c>
    </row>
    <row r="14" customFormat="false" ht="15" hidden="false" customHeight="false" outlineLevel="0" collapsed="false">
      <c r="A14" s="0" t="s">
        <v>191</v>
      </c>
      <c r="B14" s="0" t="s">
        <v>28</v>
      </c>
      <c r="C14" s="0" t="n">
        <v>5</v>
      </c>
      <c r="D14" s="0" t="n">
        <v>4.3</v>
      </c>
      <c r="E14" s="11" t="n">
        <v>9700</v>
      </c>
      <c r="F14" s="11"/>
      <c r="G14" s="11" t="n">
        <f aca="false">$E14*1</f>
        <v>9700</v>
      </c>
      <c r="H14" s="11" t="n">
        <f aca="false">$E14*2</f>
        <v>19400</v>
      </c>
      <c r="I14" s="11" t="n">
        <f aca="false">$E14*3</f>
        <v>29100</v>
      </c>
      <c r="J14" s="11" t="n">
        <f aca="false">$E14*4</f>
        <v>38800</v>
      </c>
      <c r="K14" s="11" t="n">
        <f aca="false">$E14*5</f>
        <v>48500</v>
      </c>
      <c r="L14" s="11" t="n">
        <f aca="false">$E14*6</f>
        <v>58200</v>
      </c>
      <c r="M14" s="11" t="n">
        <f aca="false">$E14*7</f>
        <v>67900</v>
      </c>
      <c r="N14" s="11" t="n">
        <f aca="false">$E14*8</f>
        <v>77600</v>
      </c>
      <c r="O14" s="11" t="n">
        <f aca="false">$E14*9</f>
        <v>87300</v>
      </c>
      <c r="P14" s="11" t="n">
        <f aca="false">$E14*10</f>
        <v>97000</v>
      </c>
      <c r="Q14" s="11" t="n">
        <f aca="false">$E14*11</f>
        <v>106700</v>
      </c>
      <c r="R14" s="11" t="n">
        <f aca="false">$E14*12</f>
        <v>116400</v>
      </c>
      <c r="S14" s="11" t="n">
        <f aca="false">$E14*13</f>
        <v>126100</v>
      </c>
      <c r="T14" s="11" t="n">
        <f aca="false">$E14*14</f>
        <v>135800</v>
      </c>
      <c r="U14" s="11" t="n">
        <f aca="false">$E14*15</f>
        <v>145500</v>
      </c>
      <c r="V14" s="11" t="n">
        <f aca="false">$E14*16</f>
        <v>155200</v>
      </c>
      <c r="W14" s="11" t="n">
        <f aca="false">$E14*17</f>
        <v>164900</v>
      </c>
      <c r="X14" s="11" t="n">
        <f aca="false">$E14*18</f>
        <v>174600</v>
      </c>
      <c r="Y14" s="11" t="n">
        <f aca="false">$E14*19</f>
        <v>184300</v>
      </c>
      <c r="Z14" s="11" t="n">
        <f aca="false">$E14*20</f>
        <v>194000</v>
      </c>
    </row>
    <row r="15" customFormat="false" ht="15" hidden="false" customHeight="false" outlineLevel="0" collapsed="false">
      <c r="A15" s="0" t="s">
        <v>192</v>
      </c>
      <c r="B15" s="0" t="s">
        <v>193</v>
      </c>
      <c r="C15" s="0" t="n">
        <v>3</v>
      </c>
      <c r="D15" s="0" t="n">
        <v>3.7</v>
      </c>
      <c r="E15" s="11" t="n">
        <v>3680</v>
      </c>
      <c r="F15" s="11" t="n">
        <v>480</v>
      </c>
      <c r="G15" s="11" t="n">
        <f aca="false">$E15*1</f>
        <v>3680</v>
      </c>
      <c r="H15" s="11" t="n">
        <f aca="false">$E15*2</f>
        <v>7360</v>
      </c>
      <c r="I15" s="11" t="n">
        <f aca="false">$E15*3</f>
        <v>11040</v>
      </c>
      <c r="J15" s="11" t="n">
        <f aca="false">$E15*4</f>
        <v>14720</v>
      </c>
      <c r="K15" s="11" t="n">
        <f aca="false">$E15*5</f>
        <v>18400</v>
      </c>
      <c r="L15" s="11" t="n">
        <f aca="false">$E15*6</f>
        <v>22080</v>
      </c>
      <c r="M15" s="11" t="n">
        <f aca="false">$E15*7</f>
        <v>25760</v>
      </c>
      <c r="N15" s="11" t="n">
        <f aca="false">$E15*8</f>
        <v>29440</v>
      </c>
      <c r="O15" s="11" t="n">
        <f aca="false">$E15*9</f>
        <v>33120</v>
      </c>
      <c r="P15" s="11" t="n">
        <f aca="false">$E15*10</f>
        <v>36800</v>
      </c>
      <c r="Q15" s="11" t="n">
        <f aca="false">$E15*11</f>
        <v>40480</v>
      </c>
      <c r="R15" s="11" t="n">
        <f aca="false">$E15*12</f>
        <v>44160</v>
      </c>
      <c r="S15" s="11" t="n">
        <f aca="false">$E15*13</f>
        <v>47840</v>
      </c>
      <c r="T15" s="11" t="n">
        <f aca="false">$E15*14</f>
        <v>51520</v>
      </c>
      <c r="U15" s="11" t="n">
        <f aca="false">$E15*15</f>
        <v>55200</v>
      </c>
      <c r="V15" s="11" t="n">
        <f aca="false">$E15*16</f>
        <v>58880</v>
      </c>
      <c r="W15" s="11" t="n">
        <f aca="false">$E15*17</f>
        <v>62560</v>
      </c>
      <c r="X15" s="11" t="n">
        <f aca="false">$E15*18</f>
        <v>66240</v>
      </c>
      <c r="Y15" s="11" t="n">
        <f aca="false">$E15*19</f>
        <v>69920</v>
      </c>
      <c r="Z15" s="11" t="n">
        <f aca="false">$E15*20</f>
        <v>73600</v>
      </c>
    </row>
    <row r="16" customFormat="false" ht="15" hidden="false" customHeight="false" outlineLevel="0" collapsed="false">
      <c r="A16" s="0" t="s">
        <v>194</v>
      </c>
      <c r="B16" s="0" t="s">
        <v>195</v>
      </c>
      <c r="D16" s="0" t="n">
        <v>4.2</v>
      </c>
      <c r="E16" s="11" t="n">
        <v>1098</v>
      </c>
      <c r="F16" s="11" t="n">
        <v>269</v>
      </c>
      <c r="G16" s="11" t="n">
        <f aca="false">$E16*1</f>
        <v>1098</v>
      </c>
      <c r="H16" s="11" t="n">
        <f aca="false">$E16*2</f>
        <v>2196</v>
      </c>
      <c r="I16" s="11" t="n">
        <f aca="false">$E16*3</f>
        <v>3294</v>
      </c>
      <c r="J16" s="11" t="n">
        <f aca="false">$E16*4</f>
        <v>4392</v>
      </c>
      <c r="K16" s="11" t="n">
        <f aca="false">$E16*5</f>
        <v>5490</v>
      </c>
      <c r="L16" s="11" t="n">
        <f aca="false">$E16*6</f>
        <v>6588</v>
      </c>
      <c r="M16" s="11" t="n">
        <f aca="false">$E16*7</f>
        <v>7686</v>
      </c>
      <c r="N16" s="11" t="n">
        <f aca="false">$E16*8</f>
        <v>8784</v>
      </c>
      <c r="O16" s="11" t="n">
        <f aca="false">$E16*9</f>
        <v>9882</v>
      </c>
      <c r="P16" s="11" t="n">
        <f aca="false">$E16*10</f>
        <v>10980</v>
      </c>
      <c r="Q16" s="11" t="n">
        <f aca="false">$E16*11</f>
        <v>12078</v>
      </c>
      <c r="R16" s="11" t="n">
        <f aca="false">$E16*12</f>
        <v>13176</v>
      </c>
      <c r="S16" s="11" t="n">
        <f aca="false">$E16*13</f>
        <v>14274</v>
      </c>
      <c r="T16" s="11" t="n">
        <f aca="false">$E16*14</f>
        <v>15372</v>
      </c>
      <c r="U16" s="11" t="n">
        <f aca="false">$E16*15</f>
        <v>16470</v>
      </c>
      <c r="V16" s="11" t="n">
        <f aca="false">$E16*16</f>
        <v>17568</v>
      </c>
      <c r="W16" s="11" t="n">
        <f aca="false">$E16*17</f>
        <v>18666</v>
      </c>
      <c r="X16" s="11" t="n">
        <f aca="false">$E16*18</f>
        <v>19764</v>
      </c>
      <c r="Y16" s="11" t="n">
        <f aca="false">$E16*19</f>
        <v>20862</v>
      </c>
      <c r="Z16" s="11" t="n">
        <f aca="false">$E16*20</f>
        <v>21960</v>
      </c>
    </row>
    <row r="17" customFormat="false" ht="15" hidden="false" customHeight="false" outlineLevel="0" collapsed="false">
      <c r="A17" s="0" t="s">
        <v>196</v>
      </c>
      <c r="B17" s="0" t="s">
        <v>195</v>
      </c>
      <c r="C17" s="0" t="n">
        <v>5</v>
      </c>
      <c r="D17" s="0" t="n">
        <v>4</v>
      </c>
      <c r="E17" s="11" t="n">
        <v>7249</v>
      </c>
      <c r="F17" s="11"/>
      <c r="G17" s="11" t="n">
        <f aca="false">$E17*1</f>
        <v>7249</v>
      </c>
      <c r="H17" s="11" t="n">
        <f aca="false">$E17*2</f>
        <v>14498</v>
      </c>
      <c r="I17" s="11" t="n">
        <f aca="false">$E17*3</f>
        <v>21747</v>
      </c>
      <c r="J17" s="11" t="n">
        <f aca="false">$E17*4</f>
        <v>28996</v>
      </c>
      <c r="K17" s="11" t="n">
        <f aca="false">$E17*5</f>
        <v>36245</v>
      </c>
      <c r="L17" s="11" t="n">
        <f aca="false">$E17*6</f>
        <v>43494</v>
      </c>
      <c r="M17" s="11" t="n">
        <f aca="false">$E17*7</f>
        <v>50743</v>
      </c>
      <c r="N17" s="11" t="n">
        <f aca="false">$E17*8</f>
        <v>57992</v>
      </c>
      <c r="O17" s="11" t="n">
        <f aca="false">$E17*9</f>
        <v>65241</v>
      </c>
      <c r="P17" s="11" t="n">
        <f aca="false">$E17*10</f>
        <v>72490</v>
      </c>
      <c r="Q17" s="11" t="n">
        <f aca="false">$E17*11</f>
        <v>79739</v>
      </c>
      <c r="R17" s="11" t="n">
        <f aca="false">$E17*12</f>
        <v>86988</v>
      </c>
      <c r="S17" s="11" t="n">
        <f aca="false">$E17*13</f>
        <v>94237</v>
      </c>
      <c r="T17" s="11" t="n">
        <f aca="false">$E17*14</f>
        <v>101486</v>
      </c>
      <c r="U17" s="11" t="n">
        <f aca="false">$E17*15</f>
        <v>108735</v>
      </c>
      <c r="V17" s="11" t="n">
        <f aca="false">$E17*16</f>
        <v>115984</v>
      </c>
      <c r="W17" s="11" t="n">
        <f aca="false">$E17*17</f>
        <v>123233</v>
      </c>
      <c r="X17" s="11" t="n">
        <f aca="false">$E17*18</f>
        <v>130482</v>
      </c>
      <c r="Y17" s="11" t="n">
        <f aca="false">$E17*19</f>
        <v>137731</v>
      </c>
      <c r="Z17" s="11" t="n">
        <f aca="false">$E17*20</f>
        <v>144980</v>
      </c>
    </row>
    <row r="18" customFormat="false" ht="15" hidden="false" customHeight="false" outlineLevel="0" collapsed="false">
      <c r="A18" s="0" t="s">
        <v>197</v>
      </c>
      <c r="B18" s="0" t="s">
        <v>178</v>
      </c>
      <c r="C18" s="0" t="n">
        <v>5</v>
      </c>
      <c r="D18" s="0" t="n">
        <v>4</v>
      </c>
      <c r="E18" s="11" t="n">
        <v>5999</v>
      </c>
      <c r="F18" s="11"/>
      <c r="G18" s="11" t="n">
        <f aca="false">$E18*1</f>
        <v>5999</v>
      </c>
      <c r="H18" s="11" t="n">
        <f aca="false">$E18*2</f>
        <v>11998</v>
      </c>
      <c r="I18" s="11" t="n">
        <f aca="false">$E18*3</f>
        <v>17997</v>
      </c>
      <c r="J18" s="11" t="n">
        <f aca="false">$E18*4</f>
        <v>23996</v>
      </c>
      <c r="K18" s="11" t="n">
        <f aca="false">$E18*5</f>
        <v>29995</v>
      </c>
      <c r="L18" s="11" t="n">
        <f aca="false">$E18*6</f>
        <v>35994</v>
      </c>
      <c r="M18" s="11" t="n">
        <f aca="false">$E18*7</f>
        <v>41993</v>
      </c>
      <c r="N18" s="11" t="n">
        <f aca="false">$E18*8</f>
        <v>47992</v>
      </c>
      <c r="O18" s="11" t="n">
        <f aca="false">$E18*9</f>
        <v>53991</v>
      </c>
      <c r="P18" s="11" t="n">
        <f aca="false">$E18*10</f>
        <v>59990</v>
      </c>
      <c r="Q18" s="11" t="n">
        <f aca="false">$E18*11</f>
        <v>65989</v>
      </c>
      <c r="R18" s="11" t="n">
        <f aca="false">$E18*12</f>
        <v>71988</v>
      </c>
      <c r="S18" s="11" t="n">
        <f aca="false">$E18*13</f>
        <v>77987</v>
      </c>
      <c r="T18" s="11" t="n">
        <f aca="false">$E18*14</f>
        <v>83986</v>
      </c>
      <c r="U18" s="11" t="n">
        <f aca="false">$E18*15</f>
        <v>89985</v>
      </c>
      <c r="V18" s="11" t="n">
        <f aca="false">$E18*16</f>
        <v>95984</v>
      </c>
      <c r="W18" s="11" t="n">
        <f aca="false">$E18*17</f>
        <v>101983</v>
      </c>
      <c r="X18" s="11" t="n">
        <f aca="false">$E18*18</f>
        <v>107982</v>
      </c>
      <c r="Y18" s="11" t="n">
        <f aca="false">$E18*19</f>
        <v>113981</v>
      </c>
      <c r="Z18" s="11" t="n">
        <f aca="false">$E18*20</f>
        <v>119980</v>
      </c>
    </row>
    <row r="19" customFormat="false" ht="15" hidden="false" customHeight="false" outlineLevel="0" collapsed="false">
      <c r="A19" s="0" t="s">
        <v>198</v>
      </c>
      <c r="B19" s="0" t="s">
        <v>141</v>
      </c>
      <c r="C19" s="0" t="n">
        <v>5</v>
      </c>
      <c r="D19" s="0" t="n">
        <v>4.2</v>
      </c>
      <c r="E19" s="11" t="n">
        <v>6250</v>
      </c>
      <c r="F19" s="11"/>
      <c r="G19" s="11" t="n">
        <f aca="false">$E19*1</f>
        <v>6250</v>
      </c>
      <c r="H19" s="11" t="n">
        <f aca="false">$E19*2</f>
        <v>12500</v>
      </c>
      <c r="I19" s="11" t="n">
        <f aca="false">$E19*3</f>
        <v>18750</v>
      </c>
      <c r="J19" s="11" t="n">
        <f aca="false">$E19*4</f>
        <v>25000</v>
      </c>
      <c r="K19" s="11" t="n">
        <f aca="false">$E19*5</f>
        <v>31250</v>
      </c>
      <c r="L19" s="11" t="n">
        <f aca="false">$E19*6</f>
        <v>37500</v>
      </c>
      <c r="M19" s="11" t="n">
        <f aca="false">$E19*7</f>
        <v>43750</v>
      </c>
      <c r="N19" s="11" t="n">
        <f aca="false">$E19*8</f>
        <v>50000</v>
      </c>
      <c r="O19" s="11" t="n">
        <f aca="false">$E19*9</f>
        <v>56250</v>
      </c>
      <c r="P19" s="11" t="n">
        <f aca="false">$E19*10</f>
        <v>62500</v>
      </c>
      <c r="Q19" s="11" t="n">
        <f aca="false">$E19*11</f>
        <v>68750</v>
      </c>
      <c r="R19" s="11" t="n">
        <f aca="false">$E19*12</f>
        <v>75000</v>
      </c>
      <c r="S19" s="11" t="n">
        <f aca="false">$E19*13</f>
        <v>81250</v>
      </c>
      <c r="T19" s="11" t="n">
        <f aca="false">$E19*14</f>
        <v>87500</v>
      </c>
      <c r="U19" s="11" t="n">
        <f aca="false">$E19*15</f>
        <v>93750</v>
      </c>
      <c r="V19" s="11" t="n">
        <f aca="false">$E19*16</f>
        <v>100000</v>
      </c>
      <c r="W19" s="11" t="n">
        <f aca="false">$E19*17</f>
        <v>106250</v>
      </c>
      <c r="X19" s="11" t="n">
        <f aca="false">$E19*18</f>
        <v>112500</v>
      </c>
      <c r="Y19" s="11" t="n">
        <f aca="false">$E19*19</f>
        <v>118750</v>
      </c>
      <c r="Z19" s="11" t="n">
        <f aca="false">$E19*20</f>
        <v>125000</v>
      </c>
    </row>
    <row r="20" customFormat="false" ht="15" hidden="false" customHeight="false" outlineLevel="0" collapsed="false">
      <c r="A20" s="0" t="s">
        <v>199</v>
      </c>
      <c r="B20" s="0" t="s">
        <v>200</v>
      </c>
      <c r="C20" s="0" t="n">
        <v>4</v>
      </c>
      <c r="D20" s="0" t="n">
        <v>3.9</v>
      </c>
      <c r="E20" s="11" t="n">
        <v>4299</v>
      </c>
      <c r="F20" s="11"/>
      <c r="G20" s="11" t="n">
        <f aca="false">$E20*1</f>
        <v>4299</v>
      </c>
      <c r="H20" s="11" t="n">
        <f aca="false">$E20*2</f>
        <v>8598</v>
      </c>
      <c r="I20" s="11" t="n">
        <f aca="false">$E20*3</f>
        <v>12897</v>
      </c>
      <c r="J20" s="11" t="n">
        <f aca="false">$E20*4</f>
        <v>17196</v>
      </c>
      <c r="K20" s="11" t="n">
        <f aca="false">$E20*5</f>
        <v>21495</v>
      </c>
      <c r="L20" s="11" t="n">
        <f aca="false">$E20*6</f>
        <v>25794</v>
      </c>
      <c r="M20" s="11" t="n">
        <f aca="false">$E20*7</f>
        <v>30093</v>
      </c>
      <c r="N20" s="11" t="n">
        <f aca="false">$E20*8</f>
        <v>34392</v>
      </c>
      <c r="O20" s="11" t="n">
        <f aca="false">$E20*9</f>
        <v>38691</v>
      </c>
      <c r="P20" s="11" t="n">
        <f aca="false">$E20*10</f>
        <v>42990</v>
      </c>
      <c r="Q20" s="11" t="n">
        <f aca="false">$E20*11</f>
        <v>47289</v>
      </c>
      <c r="R20" s="11" t="n">
        <f aca="false">$E20*12</f>
        <v>51588</v>
      </c>
      <c r="S20" s="11" t="n">
        <f aca="false">$E20*13</f>
        <v>55887</v>
      </c>
      <c r="T20" s="11" t="n">
        <f aca="false">$E20*14</f>
        <v>60186</v>
      </c>
      <c r="U20" s="11" t="n">
        <f aca="false">$E20*15</f>
        <v>64485</v>
      </c>
      <c r="V20" s="11" t="n">
        <f aca="false">$E20*16</f>
        <v>68784</v>
      </c>
      <c r="W20" s="11" t="n">
        <f aca="false">$E20*17</f>
        <v>73083</v>
      </c>
      <c r="X20" s="11" t="n">
        <f aca="false">$E20*18</f>
        <v>77382</v>
      </c>
      <c r="Y20" s="11" t="n">
        <f aca="false">$E20*19</f>
        <v>81681</v>
      </c>
      <c r="Z20" s="11" t="n">
        <f aca="false">$E20*20</f>
        <v>85980</v>
      </c>
    </row>
    <row r="21" customFormat="false" ht="15" hidden="false" customHeight="false" outlineLevel="0" collapsed="false">
      <c r="A21" s="0" t="s">
        <v>201</v>
      </c>
      <c r="B21" s="0" t="s">
        <v>193</v>
      </c>
      <c r="C21" s="0" t="n">
        <v>4</v>
      </c>
      <c r="D21" s="0" t="n">
        <v>4</v>
      </c>
      <c r="E21" s="11" t="n">
        <v>4112</v>
      </c>
      <c r="F21" s="11" t="n">
        <v>831</v>
      </c>
      <c r="G21" s="11" t="n">
        <f aca="false">$E21*1</f>
        <v>4112</v>
      </c>
      <c r="H21" s="11" t="n">
        <f aca="false">$E21*2</f>
        <v>8224</v>
      </c>
      <c r="I21" s="11" t="n">
        <f aca="false">$E21*3</f>
        <v>12336</v>
      </c>
      <c r="J21" s="11" t="n">
        <f aca="false">$E21*4</f>
        <v>16448</v>
      </c>
      <c r="K21" s="11" t="n">
        <f aca="false">$E21*5</f>
        <v>20560</v>
      </c>
      <c r="L21" s="11" t="n">
        <f aca="false">$E21*6</f>
        <v>24672</v>
      </c>
      <c r="M21" s="11" t="n">
        <f aca="false">$E21*7</f>
        <v>28784</v>
      </c>
      <c r="N21" s="11" t="n">
        <f aca="false">$E21*8</f>
        <v>32896</v>
      </c>
      <c r="O21" s="11" t="n">
        <f aca="false">$E21*9</f>
        <v>37008</v>
      </c>
      <c r="P21" s="11" t="n">
        <f aca="false">$E21*10</f>
        <v>41120</v>
      </c>
      <c r="Q21" s="11" t="n">
        <f aca="false">$E21*11</f>
        <v>45232</v>
      </c>
      <c r="R21" s="11" t="n">
        <f aca="false">$E21*12</f>
        <v>49344</v>
      </c>
      <c r="S21" s="11" t="n">
        <f aca="false">$E21*13</f>
        <v>53456</v>
      </c>
      <c r="T21" s="11" t="n">
        <f aca="false">$E21*14</f>
        <v>57568</v>
      </c>
      <c r="U21" s="11" t="n">
        <f aca="false">$E21*15</f>
        <v>61680</v>
      </c>
      <c r="V21" s="11" t="n">
        <f aca="false">$E21*16</f>
        <v>65792</v>
      </c>
      <c r="W21" s="11" t="n">
        <f aca="false">$E21*17</f>
        <v>69904</v>
      </c>
      <c r="X21" s="11" t="n">
        <f aca="false">$E21*18</f>
        <v>74016</v>
      </c>
      <c r="Y21" s="11" t="n">
        <f aca="false">$E21*19</f>
        <v>78128</v>
      </c>
      <c r="Z21" s="11" t="n">
        <f aca="false">$E21*20</f>
        <v>82240</v>
      </c>
    </row>
    <row r="22" customFormat="false" ht="15" hidden="false" customHeight="false" outlineLevel="0" collapsed="false">
      <c r="A22" s="0" t="s">
        <v>202</v>
      </c>
      <c r="B22" s="0" t="s">
        <v>203</v>
      </c>
      <c r="C22" s="0" t="n">
        <v>3</v>
      </c>
      <c r="D22" s="0" t="n">
        <v>3.7</v>
      </c>
      <c r="E22" s="11" t="n">
        <v>2792</v>
      </c>
      <c r="F22" s="11" t="n">
        <v>564</v>
      </c>
      <c r="G22" s="11" t="n">
        <f aca="false">$E22*1</f>
        <v>2792</v>
      </c>
      <c r="H22" s="11" t="n">
        <f aca="false">$E22*2</f>
        <v>5584</v>
      </c>
      <c r="I22" s="11" t="n">
        <f aca="false">$E22*3</f>
        <v>8376</v>
      </c>
      <c r="J22" s="11" t="n">
        <f aca="false">$E22*4</f>
        <v>11168</v>
      </c>
      <c r="K22" s="11" t="n">
        <f aca="false">$E22*5</f>
        <v>13960</v>
      </c>
      <c r="L22" s="11" t="n">
        <f aca="false">$E22*6</f>
        <v>16752</v>
      </c>
      <c r="M22" s="11" t="n">
        <f aca="false">$E22*7</f>
        <v>19544</v>
      </c>
      <c r="N22" s="11" t="n">
        <f aca="false">$E22*8</f>
        <v>22336</v>
      </c>
      <c r="O22" s="11" t="n">
        <f aca="false">$E22*9</f>
        <v>25128</v>
      </c>
      <c r="P22" s="11" t="n">
        <f aca="false">$E22*10</f>
        <v>27920</v>
      </c>
      <c r="Q22" s="11" t="n">
        <f aca="false">$E22*11</f>
        <v>30712</v>
      </c>
      <c r="R22" s="11" t="n">
        <f aca="false">$E22*12</f>
        <v>33504</v>
      </c>
      <c r="S22" s="11" t="n">
        <f aca="false">$E22*13</f>
        <v>36296</v>
      </c>
      <c r="T22" s="11" t="n">
        <f aca="false">$E22*14</f>
        <v>39088</v>
      </c>
      <c r="U22" s="11" t="n">
        <f aca="false">$E22*15</f>
        <v>41880</v>
      </c>
      <c r="V22" s="11" t="n">
        <f aca="false">$E22*16</f>
        <v>44672</v>
      </c>
      <c r="W22" s="11" t="n">
        <f aca="false">$E22*17</f>
        <v>47464</v>
      </c>
      <c r="X22" s="11" t="n">
        <f aca="false">$E22*18</f>
        <v>50256</v>
      </c>
      <c r="Y22" s="11" t="n">
        <f aca="false">$E22*19</f>
        <v>53048</v>
      </c>
      <c r="Z22" s="11" t="n">
        <f aca="false">$E22*20</f>
        <v>55840</v>
      </c>
    </row>
    <row r="23" customFormat="false" ht="15" hidden="false" customHeight="false" outlineLevel="0" collapsed="false">
      <c r="A23" s="0" t="s">
        <v>37</v>
      </c>
      <c r="B23" s="0" t="s">
        <v>28</v>
      </c>
      <c r="C23" s="0" t="n">
        <v>4</v>
      </c>
      <c r="D23" s="0" t="n">
        <v>4.3</v>
      </c>
      <c r="E23" s="11" t="n">
        <v>5076</v>
      </c>
      <c r="F23" s="11" t="n">
        <v>1026</v>
      </c>
      <c r="G23" s="11" t="n">
        <f aca="false">$E23*1</f>
        <v>5076</v>
      </c>
      <c r="H23" s="11" t="n">
        <f aca="false">$E23*2</f>
        <v>10152</v>
      </c>
      <c r="I23" s="11" t="n">
        <f aca="false">$E23*3</f>
        <v>15228</v>
      </c>
      <c r="J23" s="11" t="n">
        <f aca="false">$E23*4</f>
        <v>20304</v>
      </c>
      <c r="K23" s="11" t="n">
        <f aca="false">$E23*5</f>
        <v>25380</v>
      </c>
      <c r="L23" s="11" t="n">
        <f aca="false">$E23*6</f>
        <v>30456</v>
      </c>
      <c r="M23" s="11" t="n">
        <f aca="false">$E23*7</f>
        <v>35532</v>
      </c>
      <c r="N23" s="11" t="n">
        <f aca="false">$E23*8</f>
        <v>40608</v>
      </c>
      <c r="O23" s="11" t="n">
        <f aca="false">$E23*9</f>
        <v>45684</v>
      </c>
      <c r="P23" s="11" t="n">
        <f aca="false">$E23*10</f>
        <v>50760</v>
      </c>
      <c r="Q23" s="11" t="n">
        <f aca="false">$E23*11</f>
        <v>55836</v>
      </c>
      <c r="R23" s="11" t="n">
        <f aca="false">$E23*12</f>
        <v>60912</v>
      </c>
      <c r="S23" s="11" t="n">
        <f aca="false">$E23*13</f>
        <v>65988</v>
      </c>
      <c r="T23" s="11" t="n">
        <f aca="false">$E23*14</f>
        <v>71064</v>
      </c>
      <c r="U23" s="11" t="n">
        <f aca="false">$E23*15</f>
        <v>76140</v>
      </c>
      <c r="V23" s="11" t="n">
        <f aca="false">$E23*16</f>
        <v>81216</v>
      </c>
      <c r="W23" s="11" t="n">
        <f aca="false">$E23*17</f>
        <v>86292</v>
      </c>
      <c r="X23" s="11" t="n">
        <f aca="false">$E23*18</f>
        <v>91368</v>
      </c>
      <c r="Y23" s="11" t="n">
        <f aca="false">$E23*19</f>
        <v>96444</v>
      </c>
      <c r="Z23" s="11" t="n">
        <f aca="false">$E23*20</f>
        <v>101520</v>
      </c>
    </row>
    <row r="24" customFormat="false" ht="15" hidden="false" customHeight="false" outlineLevel="0" collapsed="false">
      <c r="A24" s="0" t="s">
        <v>204</v>
      </c>
      <c r="B24" s="0" t="s">
        <v>180</v>
      </c>
      <c r="C24" s="0" t="n">
        <v>5</v>
      </c>
      <c r="D24" s="0" t="n">
        <v>4.6</v>
      </c>
      <c r="E24" s="11" t="n">
        <v>9000</v>
      </c>
      <c r="F24" s="11"/>
      <c r="G24" s="11" t="n">
        <f aca="false">$E24*1</f>
        <v>9000</v>
      </c>
      <c r="H24" s="11" t="n">
        <f aca="false">$E24*2</f>
        <v>18000</v>
      </c>
      <c r="I24" s="11" t="n">
        <f aca="false">$E24*3</f>
        <v>27000</v>
      </c>
      <c r="J24" s="11" t="n">
        <f aca="false">$E24*4</f>
        <v>36000</v>
      </c>
      <c r="K24" s="11" t="n">
        <f aca="false">$E24*5</f>
        <v>45000</v>
      </c>
      <c r="L24" s="11" t="n">
        <f aca="false">$E24*6</f>
        <v>54000</v>
      </c>
      <c r="M24" s="11" t="n">
        <f aca="false">$E24*7</f>
        <v>63000</v>
      </c>
      <c r="N24" s="11" t="n">
        <f aca="false">$E24*8</f>
        <v>72000</v>
      </c>
      <c r="O24" s="11" t="n">
        <f aca="false">$E24*9</f>
        <v>81000</v>
      </c>
      <c r="P24" s="11" t="n">
        <f aca="false">$E24*10</f>
        <v>90000</v>
      </c>
      <c r="Q24" s="11" t="n">
        <f aca="false">$E24*11</f>
        <v>99000</v>
      </c>
      <c r="R24" s="11" t="n">
        <f aca="false">$E24*12</f>
        <v>108000</v>
      </c>
      <c r="S24" s="11" t="n">
        <f aca="false">$E24*13</f>
        <v>117000</v>
      </c>
      <c r="T24" s="11" t="n">
        <f aca="false">$E24*14</f>
        <v>126000</v>
      </c>
      <c r="U24" s="11" t="n">
        <f aca="false">$E24*15</f>
        <v>135000</v>
      </c>
      <c r="V24" s="11" t="n">
        <f aca="false">$E24*16</f>
        <v>144000</v>
      </c>
      <c r="W24" s="11" t="n">
        <f aca="false">$E24*17</f>
        <v>153000</v>
      </c>
      <c r="X24" s="11" t="n">
        <f aca="false">$E24*18</f>
        <v>162000</v>
      </c>
      <c r="Y24" s="11" t="n">
        <f aca="false">$E24*19</f>
        <v>171000</v>
      </c>
      <c r="Z24" s="11" t="n">
        <f aca="false">$E24*20</f>
        <v>180000</v>
      </c>
    </row>
    <row r="25" customFormat="false" ht="15" hidden="false" customHeight="false" outlineLevel="0" collapsed="false">
      <c r="A25" s="0" t="s">
        <v>205</v>
      </c>
      <c r="B25" s="0" t="s">
        <v>28</v>
      </c>
      <c r="D25" s="0" t="n">
        <v>4.4</v>
      </c>
      <c r="E25" s="11" t="n">
        <v>1113</v>
      </c>
      <c r="F25" s="11" t="n">
        <v>294</v>
      </c>
      <c r="G25" s="11" t="n">
        <f aca="false">$E25*1</f>
        <v>1113</v>
      </c>
      <c r="H25" s="11" t="n">
        <f aca="false">$E25*2</f>
        <v>2226</v>
      </c>
      <c r="I25" s="11" t="n">
        <f aca="false">$E25*3</f>
        <v>3339</v>
      </c>
      <c r="J25" s="11" t="n">
        <f aca="false">$E25*4</f>
        <v>4452</v>
      </c>
      <c r="K25" s="11" t="n">
        <f aca="false">$E25*5</f>
        <v>5565</v>
      </c>
      <c r="L25" s="11" t="n">
        <f aca="false">$E25*6</f>
        <v>6678</v>
      </c>
      <c r="M25" s="11" t="n">
        <f aca="false">$E25*7</f>
        <v>7791</v>
      </c>
      <c r="N25" s="11" t="n">
        <f aca="false">$E25*8</f>
        <v>8904</v>
      </c>
      <c r="O25" s="11" t="n">
        <f aca="false">$E25*9</f>
        <v>10017</v>
      </c>
      <c r="P25" s="11" t="n">
        <f aca="false">$E25*10</f>
        <v>11130</v>
      </c>
      <c r="Q25" s="11" t="n">
        <f aca="false">$E25*11</f>
        <v>12243</v>
      </c>
      <c r="R25" s="11" t="n">
        <f aca="false">$E25*12</f>
        <v>13356</v>
      </c>
      <c r="S25" s="11" t="n">
        <f aca="false">$E25*13</f>
        <v>14469</v>
      </c>
      <c r="T25" s="11" t="n">
        <f aca="false">$E25*14</f>
        <v>15582</v>
      </c>
      <c r="U25" s="11" t="n">
        <f aca="false">$E25*15</f>
        <v>16695</v>
      </c>
      <c r="V25" s="11" t="n">
        <f aca="false">$E25*16</f>
        <v>17808</v>
      </c>
      <c r="W25" s="11" t="n">
        <f aca="false">$E25*17</f>
        <v>18921</v>
      </c>
      <c r="X25" s="11" t="n">
        <f aca="false">$E25*18</f>
        <v>20034</v>
      </c>
      <c r="Y25" s="11" t="n">
        <f aca="false">$E25*19</f>
        <v>21147</v>
      </c>
      <c r="Z25" s="11" t="n">
        <f aca="false">$E25*20</f>
        <v>22260</v>
      </c>
    </row>
    <row r="26" customFormat="false" ht="15" hidden="false" customHeight="false" outlineLevel="0" collapsed="false">
      <c r="A26" s="0" t="s">
        <v>206</v>
      </c>
      <c r="B26" s="0" t="s">
        <v>207</v>
      </c>
      <c r="C26" s="0" t="n">
        <v>5</v>
      </c>
      <c r="D26" s="0" t="n">
        <v>3.8</v>
      </c>
      <c r="E26" s="11" t="n">
        <v>6698</v>
      </c>
      <c r="F26" s="11" t="n">
        <v>1354</v>
      </c>
      <c r="G26" s="11" t="n">
        <f aca="false">$E26*1</f>
        <v>6698</v>
      </c>
      <c r="H26" s="11" t="n">
        <f aca="false">$E26*2</f>
        <v>13396</v>
      </c>
      <c r="I26" s="11" t="n">
        <f aca="false">$E26*3</f>
        <v>20094</v>
      </c>
      <c r="J26" s="11" t="n">
        <f aca="false">$E26*4</f>
        <v>26792</v>
      </c>
      <c r="K26" s="11" t="n">
        <f aca="false">$E26*5</f>
        <v>33490</v>
      </c>
      <c r="L26" s="11" t="n">
        <f aca="false">$E26*6</f>
        <v>40188</v>
      </c>
      <c r="M26" s="11" t="n">
        <f aca="false">$E26*7</f>
        <v>46886</v>
      </c>
      <c r="N26" s="11" t="n">
        <f aca="false">$E26*8</f>
        <v>53584</v>
      </c>
      <c r="O26" s="11" t="n">
        <f aca="false">$E26*9</f>
        <v>60282</v>
      </c>
      <c r="P26" s="11" t="n">
        <f aca="false">$E26*10</f>
        <v>66980</v>
      </c>
      <c r="Q26" s="11" t="n">
        <f aca="false">$E26*11</f>
        <v>73678</v>
      </c>
      <c r="R26" s="11" t="n">
        <f aca="false">$E26*12</f>
        <v>80376</v>
      </c>
      <c r="S26" s="11" t="n">
        <f aca="false">$E26*13</f>
        <v>87074</v>
      </c>
      <c r="T26" s="11" t="n">
        <f aca="false">$E26*14</f>
        <v>93772</v>
      </c>
      <c r="U26" s="11" t="n">
        <f aca="false">$E26*15</f>
        <v>100470</v>
      </c>
      <c r="V26" s="11" t="n">
        <f aca="false">$E26*16</f>
        <v>107168</v>
      </c>
      <c r="W26" s="11" t="n">
        <f aca="false">$E26*17</f>
        <v>113866</v>
      </c>
      <c r="X26" s="11" t="n">
        <f aca="false">$E26*18</f>
        <v>120564</v>
      </c>
      <c r="Y26" s="11" t="n">
        <f aca="false">$E26*19</f>
        <v>127262</v>
      </c>
      <c r="Z26" s="11" t="n">
        <f aca="false">$E26*20</f>
        <v>133960</v>
      </c>
    </row>
    <row r="27" customFormat="false" ht="15" hidden="false" customHeight="false" outlineLevel="0" collapsed="false">
      <c r="A27" s="0" t="s">
        <v>208</v>
      </c>
      <c r="B27" s="0" t="s">
        <v>209</v>
      </c>
      <c r="C27" s="0" t="n">
        <v>5</v>
      </c>
      <c r="D27" s="0" t="n">
        <v>4.3</v>
      </c>
      <c r="E27" s="11" t="n">
        <v>7000</v>
      </c>
      <c r="F27" s="11"/>
      <c r="G27" s="11" t="n">
        <f aca="false">$E27*1</f>
        <v>7000</v>
      </c>
      <c r="H27" s="11" t="n">
        <f aca="false">$E27*2</f>
        <v>14000</v>
      </c>
      <c r="I27" s="11" t="n">
        <f aca="false">$E27*3</f>
        <v>21000</v>
      </c>
      <c r="J27" s="11" t="n">
        <f aca="false">$E27*4</f>
        <v>28000</v>
      </c>
      <c r="K27" s="11" t="n">
        <f aca="false">$E27*5</f>
        <v>35000</v>
      </c>
      <c r="L27" s="11" t="n">
        <f aca="false">$E27*6</f>
        <v>42000</v>
      </c>
      <c r="M27" s="11" t="n">
        <f aca="false">$E27*7</f>
        <v>49000</v>
      </c>
      <c r="N27" s="11" t="n">
        <f aca="false">$E27*8</f>
        <v>56000</v>
      </c>
      <c r="O27" s="11" t="n">
        <f aca="false">$E27*9</f>
        <v>63000</v>
      </c>
      <c r="P27" s="11" t="n">
        <f aca="false">$E27*10</f>
        <v>70000</v>
      </c>
      <c r="Q27" s="11" t="n">
        <f aca="false">$E27*11</f>
        <v>77000</v>
      </c>
      <c r="R27" s="11" t="n">
        <f aca="false">$E27*12</f>
        <v>84000</v>
      </c>
      <c r="S27" s="11" t="n">
        <f aca="false">$E27*13</f>
        <v>91000</v>
      </c>
      <c r="T27" s="11" t="n">
        <f aca="false">$E27*14</f>
        <v>98000</v>
      </c>
      <c r="U27" s="11" t="n">
        <f aca="false">$E27*15</f>
        <v>105000</v>
      </c>
      <c r="V27" s="11" t="n">
        <f aca="false">$E27*16</f>
        <v>112000</v>
      </c>
      <c r="W27" s="11" t="n">
        <f aca="false">$E27*17</f>
        <v>119000</v>
      </c>
      <c r="X27" s="11" t="n">
        <f aca="false">$E27*18</f>
        <v>126000</v>
      </c>
      <c r="Y27" s="11" t="n">
        <f aca="false">$E27*19</f>
        <v>133000</v>
      </c>
      <c r="Z27" s="11" t="n">
        <f aca="false">$E27*20</f>
        <v>140000</v>
      </c>
    </row>
    <row r="28" customFormat="false" ht="15" hidden="false" customHeight="false" outlineLevel="0" collapsed="false">
      <c r="A28" s="0" t="s">
        <v>210</v>
      </c>
      <c r="B28" s="0" t="s">
        <v>211</v>
      </c>
      <c r="C28" s="0" t="n">
        <v>4</v>
      </c>
      <c r="D28" s="0" t="n">
        <v>4.1</v>
      </c>
      <c r="E28" s="11" t="n">
        <v>4499</v>
      </c>
      <c r="F28" s="11"/>
      <c r="G28" s="11" t="n">
        <f aca="false">$E28*1</f>
        <v>4499</v>
      </c>
      <c r="H28" s="11" t="n">
        <f aca="false">$E28*2</f>
        <v>8998</v>
      </c>
      <c r="I28" s="11" t="n">
        <f aca="false">$E28*3</f>
        <v>13497</v>
      </c>
      <c r="J28" s="11" t="n">
        <f aca="false">$E28*4</f>
        <v>17996</v>
      </c>
      <c r="K28" s="11" t="n">
        <f aca="false">$E28*5</f>
        <v>22495</v>
      </c>
      <c r="L28" s="11" t="n">
        <f aca="false">$E28*6</f>
        <v>26994</v>
      </c>
      <c r="M28" s="11" t="n">
        <f aca="false">$E28*7</f>
        <v>31493</v>
      </c>
      <c r="N28" s="11" t="n">
        <f aca="false">$E28*8</f>
        <v>35992</v>
      </c>
      <c r="O28" s="11" t="n">
        <f aca="false">$E28*9</f>
        <v>40491</v>
      </c>
      <c r="P28" s="11" t="n">
        <f aca="false">$E28*10</f>
        <v>44990</v>
      </c>
      <c r="Q28" s="11" t="n">
        <f aca="false">$E28*11</f>
        <v>49489</v>
      </c>
      <c r="R28" s="11" t="n">
        <f aca="false">$E28*12</f>
        <v>53988</v>
      </c>
      <c r="S28" s="11" t="n">
        <f aca="false">$E28*13</f>
        <v>58487</v>
      </c>
      <c r="T28" s="11" t="n">
        <f aca="false">$E28*14</f>
        <v>62986</v>
      </c>
      <c r="U28" s="11" t="n">
        <f aca="false">$E28*15</f>
        <v>67485</v>
      </c>
      <c r="V28" s="11" t="n">
        <f aca="false">$E28*16</f>
        <v>71984</v>
      </c>
      <c r="W28" s="11" t="n">
        <f aca="false">$E28*17</f>
        <v>76483</v>
      </c>
      <c r="X28" s="11" t="n">
        <f aca="false">$E28*18</f>
        <v>80982</v>
      </c>
      <c r="Y28" s="11" t="n">
        <f aca="false">$E28*19</f>
        <v>85481</v>
      </c>
      <c r="Z28" s="11" t="n">
        <f aca="false">$E28*20</f>
        <v>89980</v>
      </c>
    </row>
    <row r="29" customFormat="false" ht="15" hidden="false" customHeight="false" outlineLevel="0" collapsed="false">
      <c r="A29" s="0" t="s">
        <v>212</v>
      </c>
      <c r="B29" s="0" t="s">
        <v>195</v>
      </c>
      <c r="C29" s="0" t="n">
        <v>5</v>
      </c>
      <c r="D29" s="0" t="n">
        <v>4.2</v>
      </c>
      <c r="E29" s="11" t="n">
        <v>6547</v>
      </c>
      <c r="F29" s="11" t="n">
        <v>2156</v>
      </c>
      <c r="G29" s="11" t="n">
        <f aca="false">$E29*1</f>
        <v>6547</v>
      </c>
      <c r="H29" s="11" t="n">
        <f aca="false">$E29*2</f>
        <v>13094</v>
      </c>
      <c r="I29" s="11" t="n">
        <f aca="false">$E29*3</f>
        <v>19641</v>
      </c>
      <c r="J29" s="11" t="n">
        <f aca="false">$E29*4</f>
        <v>26188</v>
      </c>
      <c r="K29" s="11" t="n">
        <f aca="false">$E29*5</f>
        <v>32735</v>
      </c>
      <c r="L29" s="11" t="n">
        <f aca="false">$E29*6</f>
        <v>39282</v>
      </c>
      <c r="M29" s="11" t="n">
        <f aca="false">$E29*7</f>
        <v>45829</v>
      </c>
      <c r="N29" s="11" t="n">
        <f aca="false">$E29*8</f>
        <v>52376</v>
      </c>
      <c r="O29" s="11" t="n">
        <f aca="false">$E29*9</f>
        <v>58923</v>
      </c>
      <c r="P29" s="11" t="n">
        <f aca="false">$E29*10</f>
        <v>65470</v>
      </c>
      <c r="Q29" s="11" t="n">
        <f aca="false">$E29*11</f>
        <v>72017</v>
      </c>
      <c r="R29" s="11" t="n">
        <f aca="false">$E29*12</f>
        <v>78564</v>
      </c>
      <c r="S29" s="11" t="n">
        <f aca="false">$E29*13</f>
        <v>85111</v>
      </c>
      <c r="T29" s="11" t="n">
        <f aca="false">$E29*14</f>
        <v>91658</v>
      </c>
      <c r="U29" s="11" t="n">
        <f aca="false">$E29*15</f>
        <v>98205</v>
      </c>
      <c r="V29" s="11" t="n">
        <f aca="false">$E29*16</f>
        <v>104752</v>
      </c>
      <c r="W29" s="11" t="n">
        <f aca="false">$E29*17</f>
        <v>111299</v>
      </c>
      <c r="X29" s="11" t="n">
        <f aca="false">$E29*18</f>
        <v>117846</v>
      </c>
      <c r="Y29" s="11" t="n">
        <f aca="false">$E29*19</f>
        <v>124393</v>
      </c>
      <c r="Z29" s="11" t="n">
        <f aca="false">$E29*20</f>
        <v>130940</v>
      </c>
    </row>
    <row r="30" customFormat="false" ht="15" hidden="false" customHeight="false" outlineLevel="0" collapsed="false">
      <c r="A30" s="0" t="s">
        <v>213</v>
      </c>
      <c r="B30" s="0" t="s">
        <v>214</v>
      </c>
      <c r="C30" s="0" t="n">
        <v>5</v>
      </c>
      <c r="D30" s="0" t="n">
        <v>4.1</v>
      </c>
      <c r="E30" s="11" t="n">
        <v>3934</v>
      </c>
      <c r="F30" s="11" t="n">
        <v>1075</v>
      </c>
      <c r="G30" s="11" t="n">
        <f aca="false">$E30*1</f>
        <v>3934</v>
      </c>
      <c r="H30" s="11" t="n">
        <f aca="false">$E30*2</f>
        <v>7868</v>
      </c>
      <c r="I30" s="11" t="n">
        <f aca="false">$E30*3</f>
        <v>11802</v>
      </c>
      <c r="J30" s="11" t="n">
        <f aca="false">$E30*4</f>
        <v>15736</v>
      </c>
      <c r="K30" s="11" t="n">
        <f aca="false">$E30*5</f>
        <v>19670</v>
      </c>
      <c r="L30" s="11" t="n">
        <f aca="false">$E30*6</f>
        <v>23604</v>
      </c>
      <c r="M30" s="11" t="n">
        <f aca="false">$E30*7</f>
        <v>27538</v>
      </c>
      <c r="N30" s="11" t="n">
        <f aca="false">$E30*8</f>
        <v>31472</v>
      </c>
      <c r="O30" s="11" t="n">
        <f aca="false">$E30*9</f>
        <v>35406</v>
      </c>
      <c r="P30" s="11" t="n">
        <f aca="false">$E30*10</f>
        <v>39340</v>
      </c>
      <c r="Q30" s="11" t="n">
        <f aca="false">$E30*11</f>
        <v>43274</v>
      </c>
      <c r="R30" s="11" t="n">
        <f aca="false">$E30*12</f>
        <v>47208</v>
      </c>
      <c r="S30" s="11" t="n">
        <f aca="false">$E30*13</f>
        <v>51142</v>
      </c>
      <c r="T30" s="11" t="n">
        <f aca="false">$E30*14</f>
        <v>55076</v>
      </c>
      <c r="U30" s="11" t="n">
        <f aca="false">$E30*15</f>
        <v>59010</v>
      </c>
      <c r="V30" s="11" t="n">
        <f aca="false">$E30*16</f>
        <v>62944</v>
      </c>
      <c r="W30" s="11" t="n">
        <f aca="false">$E30*17</f>
        <v>66878</v>
      </c>
      <c r="X30" s="11" t="n">
        <f aca="false">$E30*18</f>
        <v>70812</v>
      </c>
      <c r="Y30" s="11" t="n">
        <f aca="false">$E30*19</f>
        <v>74746</v>
      </c>
      <c r="Z30" s="11" t="n">
        <f aca="false">$E30*20</f>
        <v>78680</v>
      </c>
    </row>
    <row r="31" customFormat="false" ht="15" hidden="false" customHeight="false" outlineLevel="0" collapsed="false">
      <c r="A31" s="0" t="s">
        <v>215</v>
      </c>
      <c r="B31" s="0" t="s">
        <v>216</v>
      </c>
      <c r="C31" s="0" t="n">
        <v>4</v>
      </c>
      <c r="D31" s="0" t="n">
        <v>3.9</v>
      </c>
      <c r="E31" s="11" t="n">
        <v>3575</v>
      </c>
      <c r="F31" s="11" t="n">
        <v>977</v>
      </c>
      <c r="G31" s="11" t="n">
        <f aca="false">$E31*1</f>
        <v>3575</v>
      </c>
      <c r="H31" s="11" t="n">
        <f aca="false">$E31*2</f>
        <v>7150</v>
      </c>
      <c r="I31" s="11" t="n">
        <f aca="false">$E31*3</f>
        <v>10725</v>
      </c>
      <c r="J31" s="11" t="n">
        <f aca="false">$E31*4</f>
        <v>14300</v>
      </c>
      <c r="K31" s="11" t="n">
        <f aca="false">$E31*5</f>
        <v>17875</v>
      </c>
      <c r="L31" s="11" t="n">
        <f aca="false">$E31*6</f>
        <v>21450</v>
      </c>
      <c r="M31" s="11" t="n">
        <f aca="false">$E31*7</f>
        <v>25025</v>
      </c>
      <c r="N31" s="11" t="n">
        <f aca="false">$E31*8</f>
        <v>28600</v>
      </c>
      <c r="O31" s="11" t="n">
        <f aca="false">$E31*9</f>
        <v>32175</v>
      </c>
      <c r="P31" s="11" t="n">
        <f aca="false">$E31*10</f>
        <v>35750</v>
      </c>
      <c r="Q31" s="11" t="n">
        <f aca="false">$E31*11</f>
        <v>39325</v>
      </c>
      <c r="R31" s="11" t="n">
        <f aca="false">$E31*12</f>
        <v>42900</v>
      </c>
      <c r="S31" s="11" t="n">
        <f aca="false">$E31*13</f>
        <v>46475</v>
      </c>
      <c r="T31" s="11" t="n">
        <f aca="false">$E31*14</f>
        <v>50050</v>
      </c>
      <c r="U31" s="11" t="n">
        <f aca="false">$E31*15</f>
        <v>53625</v>
      </c>
      <c r="V31" s="11" t="n">
        <f aca="false">$E31*16</f>
        <v>57200</v>
      </c>
      <c r="W31" s="11" t="n">
        <f aca="false">$E31*17</f>
        <v>60775</v>
      </c>
      <c r="X31" s="11" t="n">
        <f aca="false">$E31*18</f>
        <v>64350</v>
      </c>
      <c r="Y31" s="11" t="n">
        <f aca="false">$E31*19</f>
        <v>67925</v>
      </c>
      <c r="Z31" s="11" t="n">
        <f aca="false">$E31*20</f>
        <v>71500</v>
      </c>
    </row>
    <row r="32" customFormat="false" ht="15" hidden="false" customHeight="false" outlineLevel="0" collapsed="false">
      <c r="A32" s="0" t="s">
        <v>217</v>
      </c>
      <c r="B32" s="0" t="s">
        <v>193</v>
      </c>
      <c r="C32" s="0" t="n">
        <v>5</v>
      </c>
      <c r="D32" s="0" t="n">
        <v>4.6</v>
      </c>
      <c r="E32" s="11" t="n">
        <v>7500</v>
      </c>
      <c r="F32" s="11"/>
      <c r="G32" s="11" t="n">
        <f aca="false">$E32*1</f>
        <v>7500</v>
      </c>
      <c r="H32" s="11" t="n">
        <f aca="false">$E32*2</f>
        <v>15000</v>
      </c>
      <c r="I32" s="11" t="n">
        <f aca="false">$E32*3</f>
        <v>22500</v>
      </c>
      <c r="J32" s="11" t="n">
        <f aca="false">$E32*4</f>
        <v>30000</v>
      </c>
      <c r="K32" s="11" t="n">
        <f aca="false">$E32*5</f>
        <v>37500</v>
      </c>
      <c r="L32" s="11" t="n">
        <f aca="false">$E32*6</f>
        <v>45000</v>
      </c>
      <c r="M32" s="11" t="n">
        <f aca="false">$E32*7</f>
        <v>52500</v>
      </c>
      <c r="N32" s="11" t="n">
        <f aca="false">$E32*8</f>
        <v>60000</v>
      </c>
      <c r="O32" s="11" t="n">
        <f aca="false">$E32*9</f>
        <v>67500</v>
      </c>
      <c r="P32" s="11" t="n">
        <f aca="false">$E32*10</f>
        <v>75000</v>
      </c>
      <c r="Q32" s="11" t="n">
        <f aca="false">$E32*11</f>
        <v>82500</v>
      </c>
      <c r="R32" s="11" t="n">
        <f aca="false">$E32*12</f>
        <v>90000</v>
      </c>
      <c r="S32" s="11" t="n">
        <f aca="false">$E32*13</f>
        <v>97500</v>
      </c>
      <c r="T32" s="11" t="n">
        <f aca="false">$E32*14</f>
        <v>105000</v>
      </c>
      <c r="U32" s="11" t="n">
        <f aca="false">$E32*15</f>
        <v>112500</v>
      </c>
      <c r="V32" s="11" t="n">
        <f aca="false">$E32*16</f>
        <v>120000</v>
      </c>
      <c r="W32" s="11" t="n">
        <f aca="false">$E32*17</f>
        <v>127500</v>
      </c>
      <c r="X32" s="11" t="n">
        <f aca="false">$E32*18</f>
        <v>135000</v>
      </c>
      <c r="Y32" s="11" t="n">
        <f aca="false">$E32*19</f>
        <v>142500</v>
      </c>
      <c r="Z32" s="11" t="n">
        <f aca="false">$E32*20</f>
        <v>150000</v>
      </c>
    </row>
    <row r="33" customFormat="false" ht="15" hidden="false" customHeight="false" outlineLevel="0" collapsed="false">
      <c r="A33" s="0" t="s">
        <v>218</v>
      </c>
      <c r="B33" s="0" t="s">
        <v>176</v>
      </c>
      <c r="C33" s="0" t="n">
        <v>4</v>
      </c>
      <c r="D33" s="0" t="n">
        <v>4.1</v>
      </c>
      <c r="E33" s="11" t="n">
        <v>2347</v>
      </c>
      <c r="F33" s="11" t="n">
        <v>843</v>
      </c>
      <c r="G33" s="11" t="n">
        <f aca="false">$E33*1</f>
        <v>2347</v>
      </c>
      <c r="H33" s="11" t="n">
        <f aca="false">$E33*2</f>
        <v>4694</v>
      </c>
      <c r="I33" s="11" t="n">
        <f aca="false">$E33*3</f>
        <v>7041</v>
      </c>
      <c r="J33" s="11" t="n">
        <f aca="false">$E33*4</f>
        <v>9388</v>
      </c>
      <c r="K33" s="11" t="n">
        <f aca="false">$E33*5</f>
        <v>11735</v>
      </c>
      <c r="L33" s="11" t="n">
        <f aca="false">$E33*6</f>
        <v>14082</v>
      </c>
      <c r="M33" s="11" t="n">
        <f aca="false">$E33*7</f>
        <v>16429</v>
      </c>
      <c r="N33" s="11" t="n">
        <f aca="false">$E33*8</f>
        <v>18776</v>
      </c>
      <c r="O33" s="11" t="n">
        <f aca="false">$E33*9</f>
        <v>21123</v>
      </c>
      <c r="P33" s="11" t="n">
        <f aca="false">$E33*10</f>
        <v>23470</v>
      </c>
      <c r="Q33" s="11" t="n">
        <f aca="false">$E33*11</f>
        <v>25817</v>
      </c>
      <c r="R33" s="11" t="n">
        <f aca="false">$E33*12</f>
        <v>28164</v>
      </c>
      <c r="S33" s="11" t="n">
        <f aca="false">$E33*13</f>
        <v>30511</v>
      </c>
      <c r="T33" s="11" t="n">
        <f aca="false">$E33*14</f>
        <v>32858</v>
      </c>
      <c r="U33" s="11" t="n">
        <f aca="false">$E33*15</f>
        <v>35205</v>
      </c>
      <c r="V33" s="11" t="n">
        <f aca="false">$E33*16</f>
        <v>37552</v>
      </c>
      <c r="W33" s="11" t="n">
        <f aca="false">$E33*17</f>
        <v>39899</v>
      </c>
      <c r="X33" s="11" t="n">
        <f aca="false">$E33*18</f>
        <v>42246</v>
      </c>
      <c r="Y33" s="11" t="n">
        <f aca="false">$E33*19</f>
        <v>44593</v>
      </c>
      <c r="Z33" s="11" t="n">
        <f aca="false">$E33*20</f>
        <v>46940</v>
      </c>
    </row>
    <row r="34" customFormat="false" ht="28.35" hidden="false" customHeight="false" outlineLevel="0" collapsed="false">
      <c r="A34" s="12" t="s">
        <v>219</v>
      </c>
      <c r="B34" s="0" t="s">
        <v>220</v>
      </c>
      <c r="D34" s="0" t="n">
        <v>3.8</v>
      </c>
      <c r="E34" s="11" t="n">
        <v>2660</v>
      </c>
      <c r="F34" s="11" t="n">
        <v>754</v>
      </c>
      <c r="G34" s="11" t="n">
        <f aca="false">$E34*1</f>
        <v>2660</v>
      </c>
      <c r="H34" s="11" t="n">
        <f aca="false">$E34*2</f>
        <v>5320</v>
      </c>
      <c r="I34" s="11" t="n">
        <f aca="false">$E34*3</f>
        <v>7980</v>
      </c>
      <c r="J34" s="11" t="n">
        <f aca="false">$E34*4</f>
        <v>10640</v>
      </c>
      <c r="K34" s="11" t="n">
        <f aca="false">$E34*5</f>
        <v>13300</v>
      </c>
      <c r="L34" s="11" t="n">
        <f aca="false">$E34*6</f>
        <v>15960</v>
      </c>
      <c r="M34" s="11" t="n">
        <f aca="false">$E34*7</f>
        <v>18620</v>
      </c>
      <c r="N34" s="11" t="n">
        <f aca="false">$E34*8</f>
        <v>21280</v>
      </c>
      <c r="O34" s="11" t="n">
        <f aca="false">$E34*9</f>
        <v>23940</v>
      </c>
      <c r="P34" s="11" t="n">
        <f aca="false">$E34*10</f>
        <v>26600</v>
      </c>
      <c r="Q34" s="11" t="n">
        <f aca="false">$E34*11</f>
        <v>29260</v>
      </c>
      <c r="R34" s="11" t="n">
        <f aca="false">$E34*12</f>
        <v>31920</v>
      </c>
      <c r="S34" s="11" t="n">
        <f aca="false">$E34*13</f>
        <v>34580</v>
      </c>
      <c r="T34" s="11" t="n">
        <f aca="false">$E34*14</f>
        <v>37240</v>
      </c>
      <c r="U34" s="11" t="n">
        <f aca="false">$E34*15</f>
        <v>39900</v>
      </c>
      <c r="V34" s="11" t="n">
        <f aca="false">$E34*16</f>
        <v>42560</v>
      </c>
      <c r="W34" s="11" t="n">
        <f aca="false">$E34*17</f>
        <v>45220</v>
      </c>
      <c r="X34" s="11" t="n">
        <f aca="false">$E34*18</f>
        <v>47880</v>
      </c>
      <c r="Y34" s="11" t="n">
        <f aca="false">$E34*19</f>
        <v>50540</v>
      </c>
      <c r="Z34" s="11" t="n">
        <f aca="false">$E34*20</f>
        <v>53200</v>
      </c>
    </row>
    <row r="35" customFormat="false" ht="15" hidden="false" customHeight="false" outlineLevel="0" collapsed="false">
      <c r="A35" s="0" t="s">
        <v>221</v>
      </c>
      <c r="B35" s="0" t="s">
        <v>49</v>
      </c>
      <c r="C35" s="0" t="n">
        <v>4</v>
      </c>
      <c r="D35" s="0" t="n">
        <v>4.4</v>
      </c>
      <c r="E35" s="11" t="n">
        <v>5640</v>
      </c>
      <c r="F35" s="11" t="n">
        <v>1140</v>
      </c>
      <c r="G35" s="11" t="n">
        <f aca="false">$E35*1</f>
        <v>5640</v>
      </c>
      <c r="H35" s="11" t="n">
        <f aca="false">$E35*2</f>
        <v>11280</v>
      </c>
      <c r="I35" s="11" t="n">
        <f aca="false">$E35*3</f>
        <v>16920</v>
      </c>
      <c r="J35" s="11" t="n">
        <f aca="false">$E35*4</f>
        <v>22560</v>
      </c>
      <c r="K35" s="11" t="n">
        <f aca="false">$E35*5</f>
        <v>28200</v>
      </c>
      <c r="L35" s="11" t="n">
        <f aca="false">$E35*6</f>
        <v>33840</v>
      </c>
      <c r="M35" s="11" t="n">
        <f aca="false">$E35*7</f>
        <v>39480</v>
      </c>
      <c r="N35" s="11" t="n">
        <f aca="false">$E35*8</f>
        <v>45120</v>
      </c>
      <c r="O35" s="11" t="n">
        <f aca="false">$E35*9</f>
        <v>50760</v>
      </c>
      <c r="P35" s="11" t="n">
        <f aca="false">$E35*10</f>
        <v>56400</v>
      </c>
      <c r="Q35" s="11" t="n">
        <f aca="false">$E35*11</f>
        <v>62040</v>
      </c>
      <c r="R35" s="11" t="n">
        <f aca="false">$E35*12</f>
        <v>67680</v>
      </c>
      <c r="S35" s="11" t="n">
        <f aca="false">$E35*13</f>
        <v>73320</v>
      </c>
      <c r="T35" s="11" t="n">
        <f aca="false">$E35*14</f>
        <v>78960</v>
      </c>
      <c r="U35" s="11" t="n">
        <f aca="false">$E35*15</f>
        <v>84600</v>
      </c>
      <c r="V35" s="11" t="n">
        <f aca="false">$E35*16</f>
        <v>90240</v>
      </c>
      <c r="W35" s="11" t="n">
        <f aca="false">$E35*17</f>
        <v>95880</v>
      </c>
      <c r="X35" s="11" t="n">
        <f aca="false">$E35*18</f>
        <v>101520</v>
      </c>
      <c r="Y35" s="11" t="n">
        <f aca="false">$E35*19</f>
        <v>107160</v>
      </c>
      <c r="Z35" s="11" t="n">
        <f aca="false">$E35*20</f>
        <v>112800</v>
      </c>
    </row>
    <row r="36" customFormat="false" ht="15" hidden="false" customHeight="false" outlineLevel="0" collapsed="false">
      <c r="A36" s="0" t="s">
        <v>222</v>
      </c>
      <c r="B36" s="0" t="s">
        <v>182</v>
      </c>
      <c r="C36" s="0" t="n">
        <v>3</v>
      </c>
      <c r="D36" s="0" t="n">
        <v>3.9</v>
      </c>
      <c r="E36" s="11" t="n">
        <v>4499</v>
      </c>
      <c r="F36" s="11"/>
      <c r="G36" s="11" t="n">
        <f aca="false">$E36*1</f>
        <v>4499</v>
      </c>
      <c r="H36" s="11" t="n">
        <f aca="false">$E36*2</f>
        <v>8998</v>
      </c>
      <c r="I36" s="11" t="n">
        <f aca="false">$E36*3</f>
        <v>13497</v>
      </c>
      <c r="J36" s="11" t="n">
        <f aca="false">$E36*4</f>
        <v>17996</v>
      </c>
      <c r="K36" s="11" t="n">
        <f aca="false">$E36*5</f>
        <v>22495</v>
      </c>
      <c r="L36" s="11" t="n">
        <f aca="false">$E36*6</f>
        <v>26994</v>
      </c>
      <c r="M36" s="11" t="n">
        <f aca="false">$E36*7</f>
        <v>31493</v>
      </c>
      <c r="N36" s="11" t="n">
        <f aca="false">$E36*8</f>
        <v>35992</v>
      </c>
      <c r="O36" s="11" t="n">
        <f aca="false">$E36*9</f>
        <v>40491</v>
      </c>
      <c r="P36" s="11" t="n">
        <f aca="false">$E36*10</f>
        <v>44990</v>
      </c>
      <c r="Q36" s="11" t="n">
        <f aca="false">$E36*11</f>
        <v>49489</v>
      </c>
      <c r="R36" s="11" t="n">
        <f aca="false">$E36*12</f>
        <v>53988</v>
      </c>
      <c r="S36" s="11" t="n">
        <f aca="false">$E36*13</f>
        <v>58487</v>
      </c>
      <c r="T36" s="11" t="n">
        <f aca="false">$E36*14</f>
        <v>62986</v>
      </c>
      <c r="U36" s="11" t="n">
        <f aca="false">$E36*15</f>
        <v>67485</v>
      </c>
      <c r="V36" s="11" t="n">
        <f aca="false">$E36*16</f>
        <v>71984</v>
      </c>
      <c r="W36" s="11" t="n">
        <f aca="false">$E36*17</f>
        <v>76483</v>
      </c>
      <c r="X36" s="11" t="n">
        <f aca="false">$E36*18</f>
        <v>80982</v>
      </c>
      <c r="Y36" s="11" t="n">
        <f aca="false">$E36*19</f>
        <v>85481</v>
      </c>
      <c r="Z36" s="11" t="n">
        <f aca="false">$E36*20</f>
        <v>89980</v>
      </c>
    </row>
    <row r="37" customFormat="false" ht="15" hidden="false" customHeight="false" outlineLevel="0" collapsed="false">
      <c r="A37" s="0" t="s">
        <v>76</v>
      </c>
      <c r="B37" s="0" t="s">
        <v>141</v>
      </c>
      <c r="C37" s="0" t="n">
        <v>5</v>
      </c>
      <c r="D37" s="0" t="n">
        <v>4.7</v>
      </c>
      <c r="E37" s="11" t="n">
        <v>11500</v>
      </c>
      <c r="F37" s="11"/>
      <c r="G37" s="11" t="n">
        <f aca="false">$E37*1</f>
        <v>11500</v>
      </c>
      <c r="H37" s="11" t="n">
        <f aca="false">$E37*2</f>
        <v>23000</v>
      </c>
      <c r="I37" s="11" t="n">
        <f aca="false">$E37*3</f>
        <v>34500</v>
      </c>
      <c r="J37" s="11" t="n">
        <f aca="false">$E37*4</f>
        <v>46000</v>
      </c>
      <c r="K37" s="11" t="n">
        <f aca="false">$E37*5</f>
        <v>57500</v>
      </c>
      <c r="L37" s="11" t="n">
        <f aca="false">$E37*6</f>
        <v>69000</v>
      </c>
      <c r="M37" s="11" t="n">
        <f aca="false">$E37*7</f>
        <v>80500</v>
      </c>
      <c r="N37" s="11" t="n">
        <f aca="false">$E37*8</f>
        <v>92000</v>
      </c>
      <c r="O37" s="11" t="n">
        <f aca="false">$E37*9</f>
        <v>103500</v>
      </c>
      <c r="P37" s="11" t="n">
        <f aca="false">$E37*10</f>
        <v>115000</v>
      </c>
      <c r="Q37" s="11" t="n">
        <f aca="false">$E37*11</f>
        <v>126500</v>
      </c>
      <c r="R37" s="11" t="n">
        <f aca="false">$E37*12</f>
        <v>138000</v>
      </c>
      <c r="S37" s="11" t="n">
        <f aca="false">$E37*13</f>
        <v>149500</v>
      </c>
      <c r="T37" s="11" t="n">
        <f aca="false">$E37*14</f>
        <v>161000</v>
      </c>
      <c r="U37" s="11" t="n">
        <f aca="false">$E37*15</f>
        <v>172500</v>
      </c>
      <c r="V37" s="11" t="n">
        <f aca="false">$E37*16</f>
        <v>184000</v>
      </c>
      <c r="W37" s="11" t="n">
        <f aca="false">$E37*17</f>
        <v>195500</v>
      </c>
      <c r="X37" s="11" t="n">
        <f aca="false">$E37*18</f>
        <v>207000</v>
      </c>
      <c r="Y37" s="11" t="n">
        <f aca="false">$E37*19</f>
        <v>218500</v>
      </c>
      <c r="Z37" s="11" t="n">
        <f aca="false">$E37*20</f>
        <v>230000</v>
      </c>
    </row>
    <row r="38" customFormat="false" ht="15" hidden="false" customHeight="false" outlineLevel="0" collapsed="false">
      <c r="A38" s="0" t="s">
        <v>223</v>
      </c>
      <c r="B38" s="0" t="s">
        <v>91</v>
      </c>
      <c r="C38" s="0" t="n">
        <v>3</v>
      </c>
      <c r="D38" s="0" t="n">
        <v>3.5</v>
      </c>
      <c r="E38" s="11" t="n">
        <v>3399</v>
      </c>
      <c r="F38" s="11"/>
      <c r="G38" s="11" t="n">
        <f aca="false">$E38*1</f>
        <v>3399</v>
      </c>
      <c r="H38" s="11" t="n">
        <f aca="false">$E38*2</f>
        <v>6798</v>
      </c>
      <c r="I38" s="11" t="n">
        <f aca="false">$E38*3</f>
        <v>10197</v>
      </c>
      <c r="J38" s="11" t="n">
        <f aca="false">$E38*4</f>
        <v>13596</v>
      </c>
      <c r="K38" s="11" t="n">
        <f aca="false">$E38*5</f>
        <v>16995</v>
      </c>
      <c r="L38" s="11" t="n">
        <f aca="false">$E38*6</f>
        <v>20394</v>
      </c>
      <c r="M38" s="11" t="n">
        <f aca="false">$E38*7</f>
        <v>23793</v>
      </c>
      <c r="N38" s="11" t="n">
        <f aca="false">$E38*8</f>
        <v>27192</v>
      </c>
      <c r="O38" s="11" t="n">
        <f aca="false">$E38*9</f>
        <v>30591</v>
      </c>
      <c r="P38" s="11" t="n">
        <f aca="false">$E38*10</f>
        <v>33990</v>
      </c>
      <c r="Q38" s="11" t="n">
        <f aca="false">$E38*11</f>
        <v>37389</v>
      </c>
      <c r="R38" s="11" t="n">
        <f aca="false">$E38*12</f>
        <v>40788</v>
      </c>
      <c r="S38" s="11" t="n">
        <f aca="false">$E38*13</f>
        <v>44187</v>
      </c>
      <c r="T38" s="11" t="n">
        <f aca="false">$E38*14</f>
        <v>47586</v>
      </c>
      <c r="U38" s="11" t="n">
        <f aca="false">$E38*15</f>
        <v>50985</v>
      </c>
      <c r="V38" s="11" t="n">
        <f aca="false">$E38*16</f>
        <v>54384</v>
      </c>
      <c r="W38" s="11" t="n">
        <f aca="false">$E38*17</f>
        <v>57783</v>
      </c>
      <c r="X38" s="11" t="n">
        <f aca="false">$E38*18</f>
        <v>61182</v>
      </c>
      <c r="Y38" s="11" t="n">
        <f aca="false">$E38*19</f>
        <v>64581</v>
      </c>
      <c r="Z38" s="11" t="n">
        <f aca="false">$E38*20</f>
        <v>67980</v>
      </c>
    </row>
    <row r="39" customFormat="false" ht="15" hidden="false" customHeight="false" outlineLevel="0" collapsed="false">
      <c r="A39" s="0" t="s">
        <v>224</v>
      </c>
      <c r="B39" s="0" t="s">
        <v>184</v>
      </c>
      <c r="E39" s="11" t="n">
        <v>1330</v>
      </c>
      <c r="F39" s="11" t="n">
        <v>315</v>
      </c>
      <c r="G39" s="11" t="n">
        <f aca="false">$E39*1</f>
        <v>1330</v>
      </c>
      <c r="H39" s="11" t="n">
        <f aca="false">$E39*2</f>
        <v>2660</v>
      </c>
      <c r="I39" s="11" t="n">
        <f aca="false">$E39*3</f>
        <v>3990</v>
      </c>
      <c r="J39" s="11" t="n">
        <f aca="false">$E39*4</f>
        <v>5320</v>
      </c>
      <c r="K39" s="11" t="n">
        <f aca="false">$E39*5</f>
        <v>6650</v>
      </c>
      <c r="L39" s="11" t="n">
        <f aca="false">$E39*6</f>
        <v>7980</v>
      </c>
      <c r="M39" s="11" t="n">
        <f aca="false">$E39*7</f>
        <v>9310</v>
      </c>
      <c r="N39" s="11" t="n">
        <f aca="false">$E39*8</f>
        <v>10640</v>
      </c>
      <c r="O39" s="11" t="n">
        <f aca="false">$E39*9</f>
        <v>11970</v>
      </c>
      <c r="P39" s="11" t="n">
        <f aca="false">$E39*10</f>
        <v>13300</v>
      </c>
      <c r="Q39" s="11" t="n">
        <f aca="false">$E39*11</f>
        <v>14630</v>
      </c>
      <c r="R39" s="11" t="n">
        <f aca="false">$E39*12</f>
        <v>15960</v>
      </c>
      <c r="S39" s="11" t="n">
        <f aca="false">$E39*13</f>
        <v>17290</v>
      </c>
      <c r="T39" s="11" t="n">
        <f aca="false">$E39*14</f>
        <v>18620</v>
      </c>
      <c r="U39" s="11" t="n">
        <f aca="false">$E39*15</f>
        <v>19950</v>
      </c>
      <c r="V39" s="11" t="n">
        <f aca="false">$E39*16</f>
        <v>21280</v>
      </c>
      <c r="W39" s="11" t="n">
        <f aca="false">$E39*17</f>
        <v>22610</v>
      </c>
      <c r="X39" s="11" t="n">
        <f aca="false">$E39*18</f>
        <v>23940</v>
      </c>
      <c r="Y39" s="11" t="n">
        <f aca="false">$E39*19</f>
        <v>25270</v>
      </c>
      <c r="Z39" s="11" t="n">
        <f aca="false">$E39*20</f>
        <v>26600</v>
      </c>
    </row>
    <row r="40" customFormat="false" ht="15" hidden="false" customHeight="false" outlineLevel="0" collapsed="false">
      <c r="A40" s="0" t="s">
        <v>225</v>
      </c>
      <c r="B40" s="0" t="s">
        <v>49</v>
      </c>
      <c r="C40" s="0" t="n">
        <v>3</v>
      </c>
      <c r="D40" s="0" t="n">
        <v>3.6</v>
      </c>
      <c r="E40" s="11" t="n">
        <v>1689</v>
      </c>
      <c r="F40" s="11"/>
      <c r="G40" s="11" t="n">
        <f aca="false">$E40*1</f>
        <v>1689</v>
      </c>
      <c r="H40" s="11" t="n">
        <f aca="false">$E40*2</f>
        <v>3378</v>
      </c>
      <c r="I40" s="11" t="n">
        <f aca="false">$E40*3</f>
        <v>5067</v>
      </c>
      <c r="J40" s="11" t="n">
        <f aca="false">$E40*4</f>
        <v>6756</v>
      </c>
      <c r="K40" s="11" t="n">
        <f aca="false">$E40*5</f>
        <v>8445</v>
      </c>
      <c r="L40" s="11" t="n">
        <f aca="false">$E40*6</f>
        <v>10134</v>
      </c>
      <c r="M40" s="11" t="n">
        <f aca="false">$E40*7</f>
        <v>11823</v>
      </c>
      <c r="N40" s="11" t="n">
        <f aca="false">$E40*8</f>
        <v>13512</v>
      </c>
      <c r="O40" s="11" t="n">
        <f aca="false">$E40*9</f>
        <v>15201</v>
      </c>
      <c r="P40" s="11" t="n">
        <f aca="false">$E40*10</f>
        <v>16890</v>
      </c>
      <c r="Q40" s="11" t="n">
        <f aca="false">$E40*11</f>
        <v>18579</v>
      </c>
      <c r="R40" s="11" t="n">
        <f aca="false">$E40*12</f>
        <v>20268</v>
      </c>
      <c r="S40" s="11" t="n">
        <f aca="false">$E40*13</f>
        <v>21957</v>
      </c>
      <c r="T40" s="11" t="n">
        <f aca="false">$E40*14</f>
        <v>23646</v>
      </c>
      <c r="U40" s="11" t="n">
        <f aca="false">$E40*15</f>
        <v>25335</v>
      </c>
      <c r="V40" s="11" t="n">
        <f aca="false">$E40*16</f>
        <v>27024</v>
      </c>
      <c r="W40" s="11" t="n">
        <f aca="false">$E40*17</f>
        <v>28713</v>
      </c>
      <c r="X40" s="11" t="n">
        <f aca="false">$E40*18</f>
        <v>30402</v>
      </c>
      <c r="Y40" s="11" t="n">
        <f aca="false">$E40*19</f>
        <v>32091</v>
      </c>
      <c r="Z40" s="11" t="n">
        <f aca="false">$E40*20</f>
        <v>33780</v>
      </c>
    </row>
    <row r="41" customFormat="false" ht="15" hidden="false" customHeight="false" outlineLevel="0" collapsed="false">
      <c r="A41" s="0" t="s">
        <v>61</v>
      </c>
      <c r="B41" s="0" t="s">
        <v>226</v>
      </c>
      <c r="C41" s="0" t="n">
        <v>5</v>
      </c>
      <c r="D41" s="0" t="n">
        <v>4.1</v>
      </c>
      <c r="E41" s="11" t="n">
        <v>6409</v>
      </c>
      <c r="F41" s="11" t="n">
        <v>1295</v>
      </c>
      <c r="G41" s="11" t="n">
        <f aca="false">$E41*1</f>
        <v>6409</v>
      </c>
      <c r="H41" s="11" t="n">
        <f aca="false">$E41*2</f>
        <v>12818</v>
      </c>
      <c r="I41" s="11" t="n">
        <f aca="false">$E41*3</f>
        <v>19227</v>
      </c>
      <c r="J41" s="11" t="n">
        <f aca="false">$E41*4</f>
        <v>25636</v>
      </c>
      <c r="K41" s="11" t="n">
        <f aca="false">$E41*5</f>
        <v>32045</v>
      </c>
      <c r="L41" s="11" t="n">
        <f aca="false">$E41*6</f>
        <v>38454</v>
      </c>
      <c r="M41" s="11" t="n">
        <f aca="false">$E41*7</f>
        <v>44863</v>
      </c>
      <c r="N41" s="11" t="n">
        <f aca="false">$E41*8</f>
        <v>51272</v>
      </c>
      <c r="O41" s="11" t="n">
        <f aca="false">$E41*9</f>
        <v>57681</v>
      </c>
      <c r="P41" s="11" t="n">
        <f aca="false">$E41*10</f>
        <v>64090</v>
      </c>
      <c r="Q41" s="11" t="n">
        <f aca="false">$E41*11</f>
        <v>70499</v>
      </c>
      <c r="R41" s="11" t="n">
        <f aca="false">$E41*12</f>
        <v>76908</v>
      </c>
      <c r="S41" s="11" t="n">
        <f aca="false">$E41*13</f>
        <v>83317</v>
      </c>
      <c r="T41" s="11" t="n">
        <f aca="false">$E41*14</f>
        <v>89726</v>
      </c>
      <c r="U41" s="11" t="n">
        <f aca="false">$E41*15</f>
        <v>96135</v>
      </c>
      <c r="V41" s="11" t="n">
        <f aca="false">$E41*16</f>
        <v>102544</v>
      </c>
      <c r="W41" s="11" t="n">
        <f aca="false">$E41*17</f>
        <v>108953</v>
      </c>
      <c r="X41" s="11" t="n">
        <f aca="false">$E41*18</f>
        <v>115362</v>
      </c>
      <c r="Y41" s="11" t="n">
        <f aca="false">$E41*19</f>
        <v>121771</v>
      </c>
      <c r="Z41" s="11" t="n">
        <f aca="false">$E41*20</f>
        <v>128180</v>
      </c>
    </row>
    <row r="42" customFormat="false" ht="15" hidden="false" customHeight="false" outlineLevel="0" collapsed="false">
      <c r="A42" s="0" t="s">
        <v>227</v>
      </c>
      <c r="B42" s="0" t="s">
        <v>228</v>
      </c>
      <c r="C42" s="0" t="n">
        <v>3</v>
      </c>
      <c r="D42" s="0" t="n">
        <v>4.4</v>
      </c>
      <c r="E42" s="11" t="n">
        <v>4000</v>
      </c>
      <c r="F42" s="11"/>
      <c r="G42" s="11" t="n">
        <f aca="false">$E42*1</f>
        <v>4000</v>
      </c>
      <c r="H42" s="11" t="n">
        <f aca="false">$E42*2</f>
        <v>8000</v>
      </c>
      <c r="I42" s="11" t="n">
        <f aca="false">$E42*3</f>
        <v>12000</v>
      </c>
      <c r="J42" s="11" t="n">
        <f aca="false">$E42*4</f>
        <v>16000</v>
      </c>
      <c r="K42" s="11" t="n">
        <f aca="false">$E42*5</f>
        <v>20000</v>
      </c>
      <c r="L42" s="11" t="n">
        <f aca="false">$E42*6</f>
        <v>24000</v>
      </c>
      <c r="M42" s="11" t="n">
        <f aca="false">$E42*7</f>
        <v>28000</v>
      </c>
      <c r="N42" s="11" t="n">
        <f aca="false">$E42*8</f>
        <v>32000</v>
      </c>
      <c r="O42" s="11" t="n">
        <f aca="false">$E42*9</f>
        <v>36000</v>
      </c>
      <c r="P42" s="11" t="n">
        <f aca="false">$E42*10</f>
        <v>40000</v>
      </c>
      <c r="Q42" s="11" t="n">
        <f aca="false">$E42*11</f>
        <v>44000</v>
      </c>
      <c r="R42" s="11" t="n">
        <f aca="false">$E42*12</f>
        <v>48000</v>
      </c>
      <c r="S42" s="11" t="n">
        <f aca="false">$E42*13</f>
        <v>52000</v>
      </c>
      <c r="T42" s="11" t="n">
        <f aca="false">$E42*14</f>
        <v>56000</v>
      </c>
      <c r="U42" s="11" t="n">
        <f aca="false">$E42*15</f>
        <v>60000</v>
      </c>
      <c r="V42" s="11" t="n">
        <f aca="false">$E42*16</f>
        <v>64000</v>
      </c>
      <c r="W42" s="11" t="n">
        <f aca="false">$E42*17</f>
        <v>68000</v>
      </c>
      <c r="X42" s="11" t="n">
        <f aca="false">$E42*18</f>
        <v>72000</v>
      </c>
      <c r="Y42" s="11" t="n">
        <f aca="false">$E42*19</f>
        <v>76000</v>
      </c>
      <c r="Z42" s="11" t="n">
        <f aca="false">$E42*20</f>
        <v>80000</v>
      </c>
    </row>
    <row r="43" customFormat="false" ht="15" hidden="false" customHeight="false" outlineLevel="0" collapsed="false">
      <c r="A43" s="0" t="s">
        <v>229</v>
      </c>
      <c r="B43" s="0" t="s">
        <v>200</v>
      </c>
      <c r="C43" s="0" t="n">
        <v>3</v>
      </c>
      <c r="D43" s="0" t="n">
        <v>3.8</v>
      </c>
      <c r="E43" s="11" t="n">
        <v>2792</v>
      </c>
      <c r="F43" s="11" t="n">
        <v>564</v>
      </c>
      <c r="G43" s="11" t="n">
        <f aca="false">$E43*1</f>
        <v>2792</v>
      </c>
      <c r="H43" s="11" t="n">
        <f aca="false">$E43*2</f>
        <v>5584</v>
      </c>
      <c r="I43" s="11" t="n">
        <f aca="false">$E43*3</f>
        <v>8376</v>
      </c>
      <c r="J43" s="11" t="n">
        <f aca="false">$E43*4</f>
        <v>11168</v>
      </c>
      <c r="K43" s="11" t="n">
        <f aca="false">$E43*5</f>
        <v>13960</v>
      </c>
      <c r="L43" s="11" t="n">
        <f aca="false">$E43*6</f>
        <v>16752</v>
      </c>
      <c r="M43" s="11" t="n">
        <f aca="false">$E43*7</f>
        <v>19544</v>
      </c>
      <c r="N43" s="11" t="n">
        <f aca="false">$E43*8</f>
        <v>22336</v>
      </c>
      <c r="O43" s="11" t="n">
        <f aca="false">$E43*9</f>
        <v>25128</v>
      </c>
      <c r="P43" s="11" t="n">
        <f aca="false">$E43*10</f>
        <v>27920</v>
      </c>
      <c r="Q43" s="11" t="n">
        <f aca="false">$E43*11</f>
        <v>30712</v>
      </c>
      <c r="R43" s="11" t="n">
        <f aca="false">$E43*12</f>
        <v>33504</v>
      </c>
      <c r="S43" s="11" t="n">
        <f aca="false">$E43*13</f>
        <v>36296</v>
      </c>
      <c r="T43" s="11" t="n">
        <f aca="false">$E43*14</f>
        <v>39088</v>
      </c>
      <c r="U43" s="11" t="n">
        <f aca="false">$E43*15</f>
        <v>41880</v>
      </c>
      <c r="V43" s="11" t="n">
        <f aca="false">$E43*16</f>
        <v>44672</v>
      </c>
      <c r="W43" s="11" t="n">
        <f aca="false">$E43*17</f>
        <v>47464</v>
      </c>
      <c r="X43" s="11" t="n">
        <f aca="false">$E43*18</f>
        <v>50256</v>
      </c>
      <c r="Y43" s="11" t="n">
        <f aca="false">$E43*19</f>
        <v>53048</v>
      </c>
      <c r="Z43" s="11" t="n">
        <f aca="false">$E43*20</f>
        <v>55840</v>
      </c>
    </row>
    <row r="44" customFormat="false" ht="28.35" hidden="false" customHeight="false" outlineLevel="0" collapsed="false">
      <c r="A44" s="12" t="s">
        <v>230</v>
      </c>
      <c r="B44" s="0" t="s">
        <v>28</v>
      </c>
      <c r="D44" s="0" t="n">
        <v>4.4</v>
      </c>
      <c r="E44" s="11" t="n">
        <v>3178</v>
      </c>
      <c r="F44" s="11" t="n">
        <v>806</v>
      </c>
      <c r="G44" s="11" t="n">
        <f aca="false">$E44*1</f>
        <v>3178</v>
      </c>
      <c r="H44" s="11" t="n">
        <f aca="false">$E44*2</f>
        <v>6356</v>
      </c>
      <c r="I44" s="11" t="n">
        <f aca="false">$E44*3</f>
        <v>9534</v>
      </c>
      <c r="J44" s="11" t="n">
        <f aca="false">$E44*4</f>
        <v>12712</v>
      </c>
      <c r="K44" s="11" t="n">
        <f aca="false">$E44*5</f>
        <v>15890</v>
      </c>
      <c r="L44" s="11" t="n">
        <f aca="false">$E44*6</f>
        <v>19068</v>
      </c>
      <c r="M44" s="11" t="n">
        <f aca="false">$E44*7</f>
        <v>22246</v>
      </c>
      <c r="N44" s="11" t="n">
        <f aca="false">$E44*8</f>
        <v>25424</v>
      </c>
      <c r="O44" s="11" t="n">
        <f aca="false">$E44*9</f>
        <v>28602</v>
      </c>
      <c r="P44" s="11" t="n">
        <f aca="false">$E44*10</f>
        <v>31780</v>
      </c>
      <c r="Q44" s="11" t="n">
        <f aca="false">$E44*11</f>
        <v>34958</v>
      </c>
      <c r="R44" s="11" t="n">
        <f aca="false">$E44*12</f>
        <v>38136</v>
      </c>
      <c r="S44" s="11" t="n">
        <f aca="false">$E44*13</f>
        <v>41314</v>
      </c>
      <c r="T44" s="11" t="n">
        <f aca="false">$E44*14</f>
        <v>44492</v>
      </c>
      <c r="U44" s="11" t="n">
        <f aca="false">$E44*15</f>
        <v>47670</v>
      </c>
      <c r="V44" s="11" t="n">
        <f aca="false">$E44*16</f>
        <v>50848</v>
      </c>
      <c r="W44" s="11" t="n">
        <f aca="false">$E44*17</f>
        <v>54026</v>
      </c>
      <c r="X44" s="11" t="n">
        <f aca="false">$E44*18</f>
        <v>57204</v>
      </c>
      <c r="Y44" s="11" t="n">
        <f aca="false">$E44*19</f>
        <v>60382</v>
      </c>
      <c r="Z44" s="11" t="n">
        <f aca="false">$E44*20</f>
        <v>63560</v>
      </c>
    </row>
    <row r="45" customFormat="false" ht="15" hidden="false" customHeight="false" outlineLevel="0" collapsed="false">
      <c r="A45" s="0" t="s">
        <v>231</v>
      </c>
      <c r="B45" s="0" t="s">
        <v>232</v>
      </c>
      <c r="C45" s="0" t="n">
        <v>3</v>
      </c>
      <c r="D45" s="0" t="n">
        <v>3.7</v>
      </c>
      <c r="E45" s="11" t="n">
        <v>2726</v>
      </c>
      <c r="F45" s="11" t="n">
        <v>638</v>
      </c>
      <c r="G45" s="11" t="n">
        <f aca="false">$E45*1</f>
        <v>2726</v>
      </c>
      <c r="H45" s="11" t="n">
        <f aca="false">$E45*2</f>
        <v>5452</v>
      </c>
      <c r="I45" s="11" t="n">
        <f aca="false">$E45*3</f>
        <v>8178</v>
      </c>
      <c r="J45" s="11" t="n">
        <f aca="false">$E45*4</f>
        <v>10904</v>
      </c>
      <c r="K45" s="11" t="n">
        <f aca="false">$E45*5</f>
        <v>13630</v>
      </c>
      <c r="L45" s="11" t="n">
        <f aca="false">$E45*6</f>
        <v>16356</v>
      </c>
      <c r="M45" s="11" t="n">
        <f aca="false">$E45*7</f>
        <v>19082</v>
      </c>
      <c r="N45" s="11" t="n">
        <f aca="false">$E45*8</f>
        <v>21808</v>
      </c>
      <c r="O45" s="11" t="n">
        <f aca="false">$E45*9</f>
        <v>24534</v>
      </c>
      <c r="P45" s="11" t="n">
        <f aca="false">$E45*10</f>
        <v>27260</v>
      </c>
      <c r="Q45" s="11" t="n">
        <f aca="false">$E45*11</f>
        <v>29986</v>
      </c>
      <c r="R45" s="11" t="n">
        <f aca="false">$E45*12</f>
        <v>32712</v>
      </c>
      <c r="S45" s="11" t="n">
        <f aca="false">$E45*13</f>
        <v>35438</v>
      </c>
      <c r="T45" s="11" t="n">
        <f aca="false">$E45*14</f>
        <v>38164</v>
      </c>
      <c r="U45" s="11" t="n">
        <f aca="false">$E45*15</f>
        <v>40890</v>
      </c>
      <c r="V45" s="11" t="n">
        <f aca="false">$E45*16</f>
        <v>43616</v>
      </c>
      <c r="W45" s="11" t="n">
        <f aca="false">$E45*17</f>
        <v>46342</v>
      </c>
      <c r="X45" s="11" t="n">
        <f aca="false">$E45*18</f>
        <v>49068</v>
      </c>
      <c r="Y45" s="11" t="n">
        <f aca="false">$E45*19</f>
        <v>51794</v>
      </c>
      <c r="Z45" s="11" t="n">
        <f aca="false">$E45*20</f>
        <v>54520</v>
      </c>
    </row>
    <row r="46" customFormat="false" ht="15" hidden="false" customHeight="false" outlineLevel="0" collapsed="false">
      <c r="A46" s="0" t="s">
        <v>233</v>
      </c>
      <c r="B46" s="0" t="s">
        <v>228</v>
      </c>
      <c r="C46" s="0" t="n">
        <v>5</v>
      </c>
      <c r="D46" s="0" t="n">
        <v>4.6</v>
      </c>
      <c r="E46" s="11" t="n">
        <v>11750</v>
      </c>
      <c r="F46" s="11"/>
      <c r="G46" s="11" t="n">
        <f aca="false">$E46*1</f>
        <v>11750</v>
      </c>
      <c r="H46" s="11" t="n">
        <f aca="false">$E46*2</f>
        <v>23500</v>
      </c>
      <c r="I46" s="11" t="n">
        <f aca="false">$E46*3</f>
        <v>35250</v>
      </c>
      <c r="J46" s="11" t="n">
        <f aca="false">$E46*4</f>
        <v>47000</v>
      </c>
      <c r="K46" s="11" t="n">
        <f aca="false">$E46*5</f>
        <v>58750</v>
      </c>
      <c r="L46" s="11" t="n">
        <f aca="false">$E46*6</f>
        <v>70500</v>
      </c>
      <c r="M46" s="11" t="n">
        <f aca="false">$E46*7</f>
        <v>82250</v>
      </c>
      <c r="N46" s="11" t="n">
        <f aca="false">$E46*8</f>
        <v>94000</v>
      </c>
      <c r="O46" s="11" t="n">
        <f aca="false">$E46*9</f>
        <v>105750</v>
      </c>
      <c r="P46" s="11" t="n">
        <f aca="false">$E46*10</f>
        <v>117500</v>
      </c>
      <c r="Q46" s="11" t="n">
        <f aca="false">$E46*11</f>
        <v>129250</v>
      </c>
      <c r="R46" s="11" t="n">
        <f aca="false">$E46*12</f>
        <v>141000</v>
      </c>
      <c r="S46" s="11" t="n">
        <f aca="false">$E46*13</f>
        <v>152750</v>
      </c>
      <c r="T46" s="11" t="n">
        <f aca="false">$E46*14</f>
        <v>164500</v>
      </c>
      <c r="U46" s="11" t="n">
        <f aca="false">$E46*15</f>
        <v>176250</v>
      </c>
      <c r="V46" s="11" t="n">
        <f aca="false">$E46*16</f>
        <v>188000</v>
      </c>
      <c r="W46" s="11" t="n">
        <f aca="false">$E46*17</f>
        <v>199750</v>
      </c>
      <c r="X46" s="11" t="n">
        <f aca="false">$E46*18</f>
        <v>211500</v>
      </c>
      <c r="Y46" s="11" t="n">
        <f aca="false">$E46*19</f>
        <v>223250</v>
      </c>
      <c r="Z46" s="11" t="n">
        <f aca="false">$E46*20</f>
        <v>235000</v>
      </c>
    </row>
    <row r="47" customFormat="false" ht="15" hidden="false" customHeight="false" outlineLevel="0" collapsed="false">
      <c r="A47" s="0" t="s">
        <v>234</v>
      </c>
      <c r="B47" s="0" t="s">
        <v>141</v>
      </c>
      <c r="C47" s="0" t="n">
        <v>4</v>
      </c>
      <c r="D47" s="0" t="n">
        <v>4.5</v>
      </c>
      <c r="E47" s="11" t="n">
        <v>7500</v>
      </c>
      <c r="F47" s="11"/>
      <c r="G47" s="11" t="n">
        <f aca="false">$E47*1</f>
        <v>7500</v>
      </c>
      <c r="H47" s="11" t="n">
        <f aca="false">$E47*2</f>
        <v>15000</v>
      </c>
      <c r="I47" s="11" t="n">
        <f aca="false">$E47*3</f>
        <v>22500</v>
      </c>
      <c r="J47" s="11" t="n">
        <f aca="false">$E47*4</f>
        <v>30000</v>
      </c>
      <c r="K47" s="11" t="n">
        <f aca="false">$E47*5</f>
        <v>37500</v>
      </c>
      <c r="L47" s="11" t="n">
        <f aca="false">$E47*6</f>
        <v>45000</v>
      </c>
      <c r="M47" s="11" t="n">
        <f aca="false">$E47*7</f>
        <v>52500</v>
      </c>
      <c r="N47" s="11" t="n">
        <f aca="false">$E47*8</f>
        <v>60000</v>
      </c>
      <c r="O47" s="11" t="n">
        <f aca="false">$E47*9</f>
        <v>67500</v>
      </c>
      <c r="P47" s="11" t="n">
        <f aca="false">$E47*10</f>
        <v>75000</v>
      </c>
      <c r="Q47" s="11" t="n">
        <f aca="false">$E47*11</f>
        <v>82500</v>
      </c>
      <c r="R47" s="11" t="n">
        <f aca="false">$E47*12</f>
        <v>90000</v>
      </c>
      <c r="S47" s="11" t="n">
        <f aca="false">$E47*13</f>
        <v>97500</v>
      </c>
      <c r="T47" s="11" t="n">
        <f aca="false">$E47*14</f>
        <v>105000</v>
      </c>
      <c r="U47" s="11" t="n">
        <f aca="false">$E47*15</f>
        <v>112500</v>
      </c>
      <c r="V47" s="11" t="n">
        <f aca="false">$E47*16</f>
        <v>120000</v>
      </c>
      <c r="W47" s="11" t="n">
        <f aca="false">$E47*17</f>
        <v>127500</v>
      </c>
      <c r="X47" s="11" t="n">
        <f aca="false">$E47*18</f>
        <v>135000</v>
      </c>
      <c r="Y47" s="11" t="n">
        <f aca="false">$E47*19</f>
        <v>142500</v>
      </c>
      <c r="Z47" s="11" t="n">
        <f aca="false">$E47*20</f>
        <v>150000</v>
      </c>
    </row>
    <row r="48" customFormat="false" ht="15" hidden="false" customHeight="false" outlineLevel="0" collapsed="false">
      <c r="A48" s="0" t="s">
        <v>235</v>
      </c>
      <c r="B48" s="0" t="s">
        <v>220</v>
      </c>
      <c r="C48" s="0" t="n">
        <v>4</v>
      </c>
      <c r="D48" s="0" t="n">
        <v>3.8</v>
      </c>
      <c r="E48" s="11" t="n">
        <v>4599</v>
      </c>
      <c r="F48" s="11" t="n">
        <v>552</v>
      </c>
      <c r="G48" s="11" t="n">
        <f aca="false">$E48*1</f>
        <v>4599</v>
      </c>
      <c r="H48" s="11" t="n">
        <f aca="false">$E48*2</f>
        <v>9198</v>
      </c>
      <c r="I48" s="11" t="n">
        <f aca="false">$E48*3</f>
        <v>13797</v>
      </c>
      <c r="J48" s="11" t="n">
        <f aca="false">$E48*4</f>
        <v>18396</v>
      </c>
      <c r="K48" s="11" t="n">
        <f aca="false">$E48*5</f>
        <v>22995</v>
      </c>
      <c r="L48" s="11" t="n">
        <f aca="false">$E48*6</f>
        <v>27594</v>
      </c>
      <c r="M48" s="11" t="n">
        <f aca="false">$E48*7</f>
        <v>32193</v>
      </c>
      <c r="N48" s="11" t="n">
        <f aca="false">$E48*8</f>
        <v>36792</v>
      </c>
      <c r="O48" s="11" t="n">
        <f aca="false">$E48*9</f>
        <v>41391</v>
      </c>
      <c r="P48" s="11" t="n">
        <f aca="false">$E48*10</f>
        <v>45990</v>
      </c>
      <c r="Q48" s="11" t="n">
        <f aca="false">$E48*11</f>
        <v>50589</v>
      </c>
      <c r="R48" s="11" t="n">
        <f aca="false">$E48*12</f>
        <v>55188</v>
      </c>
      <c r="S48" s="11" t="n">
        <f aca="false">$E48*13</f>
        <v>59787</v>
      </c>
      <c r="T48" s="11" t="n">
        <f aca="false">$E48*14</f>
        <v>64386</v>
      </c>
      <c r="U48" s="11" t="n">
        <f aca="false">$E48*15</f>
        <v>68985</v>
      </c>
      <c r="V48" s="11" t="n">
        <f aca="false">$E48*16</f>
        <v>73584</v>
      </c>
      <c r="W48" s="11" t="n">
        <f aca="false">$E48*17</f>
        <v>78183</v>
      </c>
      <c r="X48" s="11" t="n">
        <f aca="false">$E48*18</f>
        <v>82782</v>
      </c>
      <c r="Y48" s="11" t="n">
        <f aca="false">$E48*19</f>
        <v>87381</v>
      </c>
      <c r="Z48" s="11" t="n">
        <f aca="false">$E48*20</f>
        <v>91980</v>
      </c>
    </row>
    <row r="49" customFormat="false" ht="15" hidden="false" customHeight="false" outlineLevel="0" collapsed="false">
      <c r="A49" s="0" t="s">
        <v>236</v>
      </c>
      <c r="B49" s="0" t="s">
        <v>188</v>
      </c>
      <c r="C49" s="0" t="n">
        <v>4</v>
      </c>
      <c r="D49" s="0" t="n">
        <v>4.1</v>
      </c>
      <c r="E49" s="11" t="n">
        <v>5000</v>
      </c>
      <c r="F49" s="11"/>
      <c r="G49" s="11" t="n">
        <f aca="false">$E49*1</f>
        <v>5000</v>
      </c>
      <c r="H49" s="11" t="n">
        <f aca="false">$E49*2</f>
        <v>10000</v>
      </c>
      <c r="I49" s="11" t="n">
        <f aca="false">$E49*3</f>
        <v>15000</v>
      </c>
      <c r="J49" s="11" t="n">
        <f aca="false">$E49*4</f>
        <v>20000</v>
      </c>
      <c r="K49" s="11" t="n">
        <f aca="false">$E49*5</f>
        <v>25000</v>
      </c>
      <c r="L49" s="11" t="n">
        <f aca="false">$E49*6</f>
        <v>30000</v>
      </c>
      <c r="M49" s="11" t="n">
        <f aca="false">$E49*7</f>
        <v>35000</v>
      </c>
      <c r="N49" s="11" t="n">
        <f aca="false">$E49*8</f>
        <v>40000</v>
      </c>
      <c r="O49" s="11" t="n">
        <f aca="false">$E49*9</f>
        <v>45000</v>
      </c>
      <c r="P49" s="11" t="n">
        <f aca="false">$E49*10</f>
        <v>50000</v>
      </c>
      <c r="Q49" s="11" t="n">
        <f aca="false">$E49*11</f>
        <v>55000</v>
      </c>
      <c r="R49" s="11" t="n">
        <f aca="false">$E49*12</f>
        <v>60000</v>
      </c>
      <c r="S49" s="11" t="n">
        <f aca="false">$E49*13</f>
        <v>65000</v>
      </c>
      <c r="T49" s="11" t="n">
        <f aca="false">$E49*14</f>
        <v>70000</v>
      </c>
      <c r="U49" s="11" t="n">
        <f aca="false">$E49*15</f>
        <v>75000</v>
      </c>
      <c r="V49" s="11" t="n">
        <f aca="false">$E49*16</f>
        <v>80000</v>
      </c>
      <c r="W49" s="11" t="n">
        <f aca="false">$E49*17</f>
        <v>85000</v>
      </c>
      <c r="X49" s="11" t="n">
        <f aca="false">$E49*18</f>
        <v>90000</v>
      </c>
      <c r="Y49" s="11" t="n">
        <f aca="false">$E49*19</f>
        <v>95000</v>
      </c>
      <c r="Z49" s="11" t="n">
        <f aca="false">$E49*20</f>
        <v>100000</v>
      </c>
    </row>
    <row r="50" customFormat="false" ht="15" hidden="false" customHeight="false" outlineLevel="0" collapsed="false">
      <c r="A50" s="0" t="s">
        <v>237</v>
      </c>
      <c r="B50" s="0" t="s">
        <v>184</v>
      </c>
      <c r="C50" s="0" t="n">
        <v>4</v>
      </c>
      <c r="D50" s="0" t="n">
        <v>3.9</v>
      </c>
      <c r="E50" s="11" t="n">
        <v>3082</v>
      </c>
      <c r="F50" s="11" t="n">
        <v>872</v>
      </c>
      <c r="G50" s="11" t="n">
        <f aca="false">$E50*1</f>
        <v>3082</v>
      </c>
      <c r="H50" s="11" t="n">
        <f aca="false">$E50*2</f>
        <v>6164</v>
      </c>
      <c r="I50" s="11" t="n">
        <f aca="false">$E50*3</f>
        <v>9246</v>
      </c>
      <c r="J50" s="11" t="n">
        <f aca="false">$E50*4</f>
        <v>12328</v>
      </c>
      <c r="K50" s="11" t="n">
        <f aca="false">$E50*5</f>
        <v>15410</v>
      </c>
      <c r="L50" s="11" t="n">
        <f aca="false">$E50*6</f>
        <v>18492</v>
      </c>
      <c r="M50" s="11" t="n">
        <f aca="false">$E50*7</f>
        <v>21574</v>
      </c>
      <c r="N50" s="11" t="n">
        <f aca="false">$E50*8</f>
        <v>24656</v>
      </c>
      <c r="O50" s="11" t="n">
        <f aca="false">$E50*9</f>
        <v>27738</v>
      </c>
      <c r="P50" s="11" t="n">
        <f aca="false">$E50*10</f>
        <v>30820</v>
      </c>
      <c r="Q50" s="11" t="n">
        <f aca="false">$E50*11</f>
        <v>33902</v>
      </c>
      <c r="R50" s="11" t="n">
        <f aca="false">$E50*12</f>
        <v>36984</v>
      </c>
      <c r="S50" s="11" t="n">
        <f aca="false">$E50*13</f>
        <v>40066</v>
      </c>
      <c r="T50" s="11" t="n">
        <f aca="false">$E50*14</f>
        <v>43148</v>
      </c>
      <c r="U50" s="11" t="n">
        <f aca="false">$E50*15</f>
        <v>46230</v>
      </c>
      <c r="V50" s="11" t="n">
        <f aca="false">$E50*16</f>
        <v>49312</v>
      </c>
      <c r="W50" s="11" t="n">
        <f aca="false">$E50*17</f>
        <v>52394</v>
      </c>
      <c r="X50" s="11" t="n">
        <f aca="false">$E50*18</f>
        <v>55476</v>
      </c>
      <c r="Y50" s="11" t="n">
        <f aca="false">$E50*19</f>
        <v>58558</v>
      </c>
      <c r="Z50" s="11" t="n">
        <f aca="false">$E50*20</f>
        <v>61640</v>
      </c>
    </row>
    <row r="51" customFormat="false" ht="15" hidden="false" customHeight="false" outlineLevel="0" collapsed="false">
      <c r="A51" s="0" t="s">
        <v>63</v>
      </c>
      <c r="B51" s="0" t="s">
        <v>238</v>
      </c>
      <c r="C51" s="0" t="n">
        <v>4</v>
      </c>
      <c r="D51" s="0" t="n">
        <v>3.7</v>
      </c>
      <c r="E51" s="11" t="n">
        <v>5823</v>
      </c>
      <c r="F51" s="11" t="n">
        <v>699</v>
      </c>
      <c r="G51" s="11" t="n">
        <f aca="false">$E51*1</f>
        <v>5823</v>
      </c>
      <c r="H51" s="11" t="n">
        <f aca="false">$E51*2</f>
        <v>11646</v>
      </c>
      <c r="I51" s="11" t="n">
        <f aca="false">$E51*3</f>
        <v>17469</v>
      </c>
      <c r="J51" s="11" t="n">
        <f aca="false">$E51*4</f>
        <v>23292</v>
      </c>
      <c r="K51" s="11" t="n">
        <f aca="false">$E51*5</f>
        <v>29115</v>
      </c>
      <c r="L51" s="11" t="n">
        <f aca="false">$E51*6</f>
        <v>34938</v>
      </c>
      <c r="M51" s="11" t="n">
        <f aca="false">$E51*7</f>
        <v>40761</v>
      </c>
      <c r="N51" s="11" t="n">
        <f aca="false">$E51*8</f>
        <v>46584</v>
      </c>
      <c r="O51" s="11" t="n">
        <f aca="false">$E51*9</f>
        <v>52407</v>
      </c>
      <c r="P51" s="11" t="n">
        <f aca="false">$E51*10</f>
        <v>58230</v>
      </c>
      <c r="Q51" s="11" t="n">
        <f aca="false">$E51*11</f>
        <v>64053</v>
      </c>
      <c r="R51" s="11" t="n">
        <f aca="false">$E51*12</f>
        <v>69876</v>
      </c>
      <c r="S51" s="11" t="n">
        <f aca="false">$E51*13</f>
        <v>75699</v>
      </c>
      <c r="T51" s="11" t="n">
        <f aca="false">$E51*14</f>
        <v>81522</v>
      </c>
      <c r="U51" s="11" t="n">
        <f aca="false">$E51*15</f>
        <v>87345</v>
      </c>
      <c r="V51" s="11" t="n">
        <f aca="false">$E51*16</f>
        <v>93168</v>
      </c>
      <c r="W51" s="11" t="n">
        <f aca="false">$E51*17</f>
        <v>98991</v>
      </c>
      <c r="X51" s="11" t="n">
        <f aca="false">$E51*18</f>
        <v>104814</v>
      </c>
      <c r="Y51" s="11" t="n">
        <f aca="false">$E51*19</f>
        <v>110637</v>
      </c>
      <c r="Z51" s="11" t="n">
        <f aca="false">$E51*20</f>
        <v>116460</v>
      </c>
    </row>
    <row r="52" customFormat="false" ht="15" hidden="false" customHeight="false" outlineLevel="0" collapsed="false">
      <c r="A52" s="0" t="s">
        <v>239</v>
      </c>
      <c r="B52" s="0" t="s">
        <v>228</v>
      </c>
      <c r="C52" s="0" t="n">
        <v>4</v>
      </c>
      <c r="D52" s="0" t="n">
        <v>4.1</v>
      </c>
      <c r="E52" s="11" t="n">
        <v>2900</v>
      </c>
      <c r="F52" s="11" t="n">
        <v>604</v>
      </c>
      <c r="G52" s="11" t="n">
        <f aca="false">$E52*1</f>
        <v>2900</v>
      </c>
      <c r="H52" s="11" t="n">
        <f aca="false">$E52*2</f>
        <v>5800</v>
      </c>
      <c r="I52" s="11" t="n">
        <f aca="false">$E52*3</f>
        <v>8700</v>
      </c>
      <c r="J52" s="11" t="n">
        <f aca="false">$E52*4</f>
        <v>11600</v>
      </c>
      <c r="K52" s="11" t="n">
        <f aca="false">$E52*5</f>
        <v>14500</v>
      </c>
      <c r="L52" s="11" t="n">
        <f aca="false">$E52*6</f>
        <v>17400</v>
      </c>
      <c r="M52" s="11" t="n">
        <f aca="false">$E52*7</f>
        <v>20300</v>
      </c>
      <c r="N52" s="11" t="n">
        <f aca="false">$E52*8</f>
        <v>23200</v>
      </c>
      <c r="O52" s="11" t="n">
        <f aca="false">$E52*9</f>
        <v>26100</v>
      </c>
      <c r="P52" s="11" t="n">
        <f aca="false">$E52*10</f>
        <v>29000</v>
      </c>
      <c r="Q52" s="11" t="n">
        <f aca="false">$E52*11</f>
        <v>31900</v>
      </c>
      <c r="R52" s="11" t="n">
        <f aca="false">$E52*12</f>
        <v>34800</v>
      </c>
      <c r="S52" s="11" t="n">
        <f aca="false">$E52*13</f>
        <v>37700</v>
      </c>
      <c r="T52" s="11" t="n">
        <f aca="false">$E52*14</f>
        <v>40600</v>
      </c>
      <c r="U52" s="11" t="n">
        <f aca="false">$E52*15</f>
        <v>43500</v>
      </c>
      <c r="V52" s="11" t="n">
        <f aca="false">$E52*16</f>
        <v>46400</v>
      </c>
      <c r="W52" s="11" t="n">
        <f aca="false">$E52*17</f>
        <v>49300</v>
      </c>
      <c r="X52" s="11" t="n">
        <f aca="false">$E52*18</f>
        <v>52200</v>
      </c>
      <c r="Y52" s="11" t="n">
        <f aca="false">$E52*19</f>
        <v>55100</v>
      </c>
      <c r="Z52" s="11" t="n">
        <f aca="false">$E52*20</f>
        <v>58000</v>
      </c>
    </row>
    <row r="53" customFormat="false" ht="28.35" hidden="false" customHeight="false" outlineLevel="0" collapsed="false">
      <c r="A53" s="12" t="s">
        <v>240</v>
      </c>
      <c r="B53" s="0" t="s">
        <v>28</v>
      </c>
      <c r="D53" s="0" t="n">
        <v>4.2</v>
      </c>
      <c r="E53" s="11" t="n">
        <v>2279</v>
      </c>
      <c r="F53" s="11" t="n">
        <v>624</v>
      </c>
      <c r="G53" s="11" t="n">
        <f aca="false">$E53*1</f>
        <v>2279</v>
      </c>
      <c r="H53" s="11" t="n">
        <f aca="false">$E53*2</f>
        <v>4558</v>
      </c>
      <c r="I53" s="11" t="n">
        <f aca="false">$E53*3</f>
        <v>6837</v>
      </c>
      <c r="J53" s="11" t="n">
        <f aca="false">$E53*4</f>
        <v>9116</v>
      </c>
      <c r="K53" s="11" t="n">
        <f aca="false">$E53*5</f>
        <v>11395</v>
      </c>
      <c r="L53" s="11" t="n">
        <f aca="false">$E53*6</f>
        <v>13674</v>
      </c>
      <c r="M53" s="11" t="n">
        <f aca="false">$E53*7</f>
        <v>15953</v>
      </c>
      <c r="N53" s="11" t="n">
        <f aca="false">$E53*8</f>
        <v>18232</v>
      </c>
      <c r="O53" s="11" t="n">
        <f aca="false">$E53*9</f>
        <v>20511</v>
      </c>
      <c r="P53" s="11" t="n">
        <f aca="false">$E53*10</f>
        <v>22790</v>
      </c>
      <c r="Q53" s="11" t="n">
        <f aca="false">$E53*11</f>
        <v>25069</v>
      </c>
      <c r="R53" s="11" t="n">
        <f aca="false">$E53*12</f>
        <v>27348</v>
      </c>
      <c r="S53" s="11" t="n">
        <f aca="false">$E53*13</f>
        <v>29627</v>
      </c>
      <c r="T53" s="11" t="n">
        <f aca="false">$E53*14</f>
        <v>31906</v>
      </c>
      <c r="U53" s="11" t="n">
        <f aca="false">$E53*15</f>
        <v>34185</v>
      </c>
      <c r="V53" s="11" t="n">
        <f aca="false">$E53*16</f>
        <v>36464</v>
      </c>
      <c r="W53" s="11" t="n">
        <f aca="false">$E53*17</f>
        <v>38743</v>
      </c>
      <c r="X53" s="11" t="n">
        <f aca="false">$E53*18</f>
        <v>41022</v>
      </c>
      <c r="Y53" s="11" t="n">
        <f aca="false">$E53*19</f>
        <v>43301</v>
      </c>
      <c r="Z53" s="11" t="n">
        <f aca="false">$E53*20</f>
        <v>45580</v>
      </c>
    </row>
    <row r="54" customFormat="false" ht="15" hidden="false" customHeight="false" outlineLevel="0" collapsed="false">
      <c r="A54" s="0" t="s">
        <v>241</v>
      </c>
      <c r="B54" s="0" t="s">
        <v>242</v>
      </c>
      <c r="C54" s="0" t="n">
        <v>5</v>
      </c>
      <c r="D54" s="0" t="n">
        <v>4.7</v>
      </c>
      <c r="E54" s="11" t="n">
        <v>25000</v>
      </c>
      <c r="F54" s="11"/>
      <c r="G54" s="11" t="n">
        <f aca="false">$E54*1</f>
        <v>25000</v>
      </c>
      <c r="H54" s="11" t="n">
        <f aca="false">$E54*2</f>
        <v>50000</v>
      </c>
      <c r="I54" s="11" t="n">
        <f aca="false">$E54*3</f>
        <v>75000</v>
      </c>
      <c r="J54" s="11" t="n">
        <f aca="false">$E54*4</f>
        <v>100000</v>
      </c>
      <c r="K54" s="11" t="n">
        <f aca="false">$E54*5</f>
        <v>125000</v>
      </c>
      <c r="L54" s="11" t="n">
        <f aca="false">$E54*6</f>
        <v>150000</v>
      </c>
      <c r="M54" s="11" t="n">
        <f aca="false">$E54*7</f>
        <v>175000</v>
      </c>
      <c r="N54" s="11" t="n">
        <f aca="false">$E54*8</f>
        <v>200000</v>
      </c>
      <c r="O54" s="11" t="n">
        <f aca="false">$E54*9</f>
        <v>225000</v>
      </c>
      <c r="P54" s="11" t="n">
        <f aca="false">$E54*10</f>
        <v>250000</v>
      </c>
      <c r="Q54" s="11" t="n">
        <f aca="false">$E54*11</f>
        <v>275000</v>
      </c>
      <c r="R54" s="11" t="n">
        <f aca="false">$E54*12</f>
        <v>300000</v>
      </c>
      <c r="S54" s="11" t="n">
        <f aca="false">$E54*13</f>
        <v>325000</v>
      </c>
      <c r="T54" s="11" t="n">
        <f aca="false">$E54*14</f>
        <v>350000</v>
      </c>
      <c r="U54" s="11" t="n">
        <f aca="false">$E54*15</f>
        <v>375000</v>
      </c>
      <c r="V54" s="11" t="n">
        <f aca="false">$E54*16</f>
        <v>400000</v>
      </c>
      <c r="W54" s="11" t="n">
        <f aca="false">$E54*17</f>
        <v>425000</v>
      </c>
      <c r="X54" s="11" t="n">
        <f aca="false">$E54*18</f>
        <v>450000</v>
      </c>
      <c r="Y54" s="11" t="n">
        <f aca="false">$E54*19</f>
        <v>475000</v>
      </c>
      <c r="Z54" s="11" t="n">
        <f aca="false">$E54*20</f>
        <v>500000</v>
      </c>
    </row>
    <row r="55" customFormat="false" ht="15" hidden="false" customHeight="false" outlineLevel="0" collapsed="false">
      <c r="A55" s="0" t="s">
        <v>243</v>
      </c>
      <c r="B55" s="0" t="s">
        <v>28</v>
      </c>
      <c r="C55" s="0" t="n">
        <v>3</v>
      </c>
      <c r="D55" s="0" t="n">
        <v>4</v>
      </c>
      <c r="E55" s="11" t="n">
        <v>2939</v>
      </c>
      <c r="F55" s="11" t="n">
        <v>752</v>
      </c>
      <c r="G55" s="11" t="n">
        <f aca="false">$E55*1</f>
        <v>2939</v>
      </c>
      <c r="H55" s="11" t="n">
        <f aca="false">$E55*2</f>
        <v>5878</v>
      </c>
      <c r="I55" s="11" t="n">
        <f aca="false">$E55*3</f>
        <v>8817</v>
      </c>
      <c r="J55" s="11" t="n">
        <f aca="false">$E55*4</f>
        <v>11756</v>
      </c>
      <c r="K55" s="11" t="n">
        <f aca="false">$E55*5</f>
        <v>14695</v>
      </c>
      <c r="L55" s="11" t="n">
        <f aca="false">$E55*6</f>
        <v>17634</v>
      </c>
      <c r="M55" s="11" t="n">
        <f aca="false">$E55*7</f>
        <v>20573</v>
      </c>
      <c r="N55" s="11" t="n">
        <f aca="false">$E55*8</f>
        <v>23512</v>
      </c>
      <c r="O55" s="11" t="n">
        <f aca="false">$E55*9</f>
        <v>26451</v>
      </c>
      <c r="P55" s="11" t="n">
        <f aca="false">$E55*10</f>
        <v>29390</v>
      </c>
      <c r="Q55" s="11" t="n">
        <f aca="false">$E55*11</f>
        <v>32329</v>
      </c>
      <c r="R55" s="11" t="n">
        <f aca="false">$E55*12</f>
        <v>35268</v>
      </c>
      <c r="S55" s="11" t="n">
        <f aca="false">$E55*13</f>
        <v>38207</v>
      </c>
      <c r="T55" s="11" t="n">
        <f aca="false">$E55*14</f>
        <v>41146</v>
      </c>
      <c r="U55" s="11" t="n">
        <f aca="false">$E55*15</f>
        <v>44085</v>
      </c>
      <c r="V55" s="11" t="n">
        <f aca="false">$E55*16</f>
        <v>47024</v>
      </c>
      <c r="W55" s="11" t="n">
        <f aca="false">$E55*17</f>
        <v>49963</v>
      </c>
      <c r="X55" s="11" t="n">
        <f aca="false">$E55*18</f>
        <v>52902</v>
      </c>
      <c r="Y55" s="11" t="n">
        <f aca="false">$E55*19</f>
        <v>55841</v>
      </c>
      <c r="Z55" s="11" t="n">
        <f aca="false">$E55*20</f>
        <v>58780</v>
      </c>
    </row>
    <row r="56" customFormat="false" ht="15" hidden="false" customHeight="false" outlineLevel="0" collapsed="false">
      <c r="A56" s="0" t="s">
        <v>244</v>
      </c>
      <c r="B56" s="0" t="s">
        <v>203</v>
      </c>
      <c r="C56" s="0" t="n">
        <v>5</v>
      </c>
      <c r="D56" s="0" t="n">
        <v>3.9</v>
      </c>
      <c r="E56" s="11" t="n">
        <v>4252</v>
      </c>
      <c r="F56" s="11" t="n">
        <v>1021</v>
      </c>
      <c r="G56" s="11" t="n">
        <f aca="false">$E56*1</f>
        <v>4252</v>
      </c>
      <c r="H56" s="11" t="n">
        <f aca="false">$E56*2</f>
        <v>8504</v>
      </c>
      <c r="I56" s="11" t="n">
        <f aca="false">$E56*3</f>
        <v>12756</v>
      </c>
      <c r="J56" s="11" t="n">
        <f aca="false">$E56*4</f>
        <v>17008</v>
      </c>
      <c r="K56" s="11" t="n">
        <f aca="false">$E56*5</f>
        <v>21260</v>
      </c>
      <c r="L56" s="11" t="n">
        <f aca="false">$E56*6</f>
        <v>25512</v>
      </c>
      <c r="M56" s="11" t="n">
        <f aca="false">$E56*7</f>
        <v>29764</v>
      </c>
      <c r="N56" s="11" t="n">
        <f aca="false">$E56*8</f>
        <v>34016</v>
      </c>
      <c r="O56" s="11" t="n">
        <f aca="false">$E56*9</f>
        <v>38268</v>
      </c>
      <c r="P56" s="11" t="n">
        <f aca="false">$E56*10</f>
        <v>42520</v>
      </c>
      <c r="Q56" s="11" t="n">
        <f aca="false">$E56*11</f>
        <v>46772</v>
      </c>
      <c r="R56" s="11" t="n">
        <f aca="false">$E56*12</f>
        <v>51024</v>
      </c>
      <c r="S56" s="11" t="n">
        <f aca="false">$E56*13</f>
        <v>55276</v>
      </c>
      <c r="T56" s="11" t="n">
        <f aca="false">$E56*14</f>
        <v>59528</v>
      </c>
      <c r="U56" s="11" t="n">
        <f aca="false">$E56*15</f>
        <v>63780</v>
      </c>
      <c r="V56" s="11" t="n">
        <f aca="false">$E56*16</f>
        <v>68032</v>
      </c>
      <c r="W56" s="11" t="n">
        <f aca="false">$E56*17</f>
        <v>72284</v>
      </c>
      <c r="X56" s="11" t="n">
        <f aca="false">$E56*18</f>
        <v>76536</v>
      </c>
      <c r="Y56" s="11" t="n">
        <f aca="false">$E56*19</f>
        <v>80788</v>
      </c>
      <c r="Z56" s="11" t="n">
        <f aca="false">$E56*20</f>
        <v>85040</v>
      </c>
    </row>
    <row r="57" customFormat="false" ht="15" hidden="false" customHeight="false" outlineLevel="0" collapsed="false">
      <c r="A57" s="0" t="s">
        <v>245</v>
      </c>
      <c r="B57" s="0" t="s">
        <v>184</v>
      </c>
      <c r="C57" s="0" t="n">
        <v>4</v>
      </c>
      <c r="D57" s="0" t="n">
        <v>3.9</v>
      </c>
      <c r="E57" s="11" t="n">
        <v>4230</v>
      </c>
      <c r="F57" s="11" t="n">
        <v>990</v>
      </c>
      <c r="G57" s="11" t="n">
        <f aca="false">$E57*1</f>
        <v>4230</v>
      </c>
      <c r="H57" s="11" t="n">
        <f aca="false">$E57*2</f>
        <v>8460</v>
      </c>
      <c r="I57" s="11" t="n">
        <f aca="false">$E57*3</f>
        <v>12690</v>
      </c>
      <c r="J57" s="11" t="n">
        <f aca="false">$E57*4</f>
        <v>16920</v>
      </c>
      <c r="K57" s="11" t="n">
        <f aca="false">$E57*5</f>
        <v>21150</v>
      </c>
      <c r="L57" s="11" t="n">
        <f aca="false">$E57*6</f>
        <v>25380</v>
      </c>
      <c r="M57" s="11" t="n">
        <f aca="false">$E57*7</f>
        <v>29610</v>
      </c>
      <c r="N57" s="11" t="n">
        <f aca="false">$E57*8</f>
        <v>33840</v>
      </c>
      <c r="O57" s="11" t="n">
        <f aca="false">$E57*9</f>
        <v>38070</v>
      </c>
      <c r="P57" s="11" t="n">
        <f aca="false">$E57*10</f>
        <v>42300</v>
      </c>
      <c r="Q57" s="11" t="n">
        <f aca="false">$E57*11</f>
        <v>46530</v>
      </c>
      <c r="R57" s="11" t="n">
        <f aca="false">$E57*12</f>
        <v>50760</v>
      </c>
      <c r="S57" s="11" t="n">
        <f aca="false">$E57*13</f>
        <v>54990</v>
      </c>
      <c r="T57" s="11" t="n">
        <f aca="false">$E57*14</f>
        <v>59220</v>
      </c>
      <c r="U57" s="11" t="n">
        <f aca="false">$E57*15</f>
        <v>63450</v>
      </c>
      <c r="V57" s="11" t="n">
        <f aca="false">$E57*16</f>
        <v>67680</v>
      </c>
      <c r="W57" s="11" t="n">
        <f aca="false">$E57*17</f>
        <v>71910</v>
      </c>
      <c r="X57" s="11" t="n">
        <f aca="false">$E57*18</f>
        <v>76140</v>
      </c>
      <c r="Y57" s="11" t="n">
        <f aca="false">$E57*19</f>
        <v>80370</v>
      </c>
      <c r="Z57" s="11" t="n">
        <f aca="false">$E57*20</f>
        <v>84600</v>
      </c>
    </row>
    <row r="58" customFormat="false" ht="15" hidden="false" customHeight="false" outlineLevel="0" collapsed="false">
      <c r="A58" s="0" t="s">
        <v>246</v>
      </c>
      <c r="B58" s="0" t="s">
        <v>188</v>
      </c>
      <c r="D58" s="0" t="n">
        <v>3.1</v>
      </c>
      <c r="E58" s="11" t="n">
        <v>979</v>
      </c>
      <c r="F58" s="11" t="n">
        <v>268</v>
      </c>
      <c r="G58" s="11" t="n">
        <f aca="false">$E58*1</f>
        <v>979</v>
      </c>
      <c r="H58" s="11" t="n">
        <f aca="false">$E58*2</f>
        <v>1958</v>
      </c>
      <c r="I58" s="11" t="n">
        <f aca="false">$E58*3</f>
        <v>2937</v>
      </c>
      <c r="J58" s="11" t="n">
        <f aca="false">$E58*4</f>
        <v>3916</v>
      </c>
      <c r="K58" s="11" t="n">
        <f aca="false">$E58*5</f>
        <v>4895</v>
      </c>
      <c r="L58" s="11" t="n">
        <f aca="false">$E58*6</f>
        <v>5874</v>
      </c>
      <c r="M58" s="11" t="n">
        <f aca="false">$E58*7</f>
        <v>6853</v>
      </c>
      <c r="N58" s="11" t="n">
        <f aca="false">$E58*8</f>
        <v>7832</v>
      </c>
      <c r="O58" s="11" t="n">
        <f aca="false">$E58*9</f>
        <v>8811</v>
      </c>
      <c r="P58" s="11" t="n">
        <f aca="false">$E58*10</f>
        <v>9790</v>
      </c>
      <c r="Q58" s="11" t="n">
        <f aca="false">$E58*11</f>
        <v>10769</v>
      </c>
      <c r="R58" s="11" t="n">
        <f aca="false">$E58*12</f>
        <v>11748</v>
      </c>
      <c r="S58" s="11" t="n">
        <f aca="false">$E58*13</f>
        <v>12727</v>
      </c>
      <c r="T58" s="11" t="n">
        <f aca="false">$E58*14</f>
        <v>13706</v>
      </c>
      <c r="U58" s="11" t="n">
        <f aca="false">$E58*15</f>
        <v>14685</v>
      </c>
      <c r="V58" s="11" t="n">
        <f aca="false">$E58*16</f>
        <v>15664</v>
      </c>
      <c r="W58" s="11" t="n">
        <f aca="false">$E58*17</f>
        <v>16643</v>
      </c>
      <c r="X58" s="11" t="n">
        <f aca="false">$E58*18</f>
        <v>17622</v>
      </c>
      <c r="Y58" s="11" t="n">
        <f aca="false">$E58*19</f>
        <v>18601</v>
      </c>
      <c r="Z58" s="11" t="n">
        <f aca="false">$E58*20</f>
        <v>19580</v>
      </c>
    </row>
    <row r="59" customFormat="false" ht="15" hidden="false" customHeight="false" outlineLevel="0" collapsed="false">
      <c r="A59" s="0" t="s">
        <v>247</v>
      </c>
      <c r="B59" s="0" t="s">
        <v>216</v>
      </c>
      <c r="C59" s="0" t="n">
        <v>5</v>
      </c>
      <c r="D59" s="0" t="n">
        <v>4.2</v>
      </c>
      <c r="E59" s="11" t="n">
        <v>8000</v>
      </c>
      <c r="F59" s="11"/>
      <c r="G59" s="11" t="n">
        <f aca="false">$E59*1</f>
        <v>8000</v>
      </c>
      <c r="H59" s="11" t="n">
        <f aca="false">$E59*2</f>
        <v>16000</v>
      </c>
      <c r="I59" s="11" t="n">
        <f aca="false">$E59*3</f>
        <v>24000</v>
      </c>
      <c r="J59" s="11" t="n">
        <f aca="false">$E59*4</f>
        <v>32000</v>
      </c>
      <c r="K59" s="11" t="n">
        <f aca="false">$E59*5</f>
        <v>40000</v>
      </c>
      <c r="L59" s="11" t="n">
        <f aca="false">$E59*6</f>
        <v>48000</v>
      </c>
      <c r="M59" s="11" t="n">
        <f aca="false">$E59*7</f>
        <v>56000</v>
      </c>
      <c r="N59" s="11" t="n">
        <f aca="false">$E59*8</f>
        <v>64000</v>
      </c>
      <c r="O59" s="11" t="n">
        <f aca="false">$E59*9</f>
        <v>72000</v>
      </c>
      <c r="P59" s="11" t="n">
        <f aca="false">$E59*10</f>
        <v>80000</v>
      </c>
      <c r="Q59" s="11" t="n">
        <f aca="false">$E59*11</f>
        <v>88000</v>
      </c>
      <c r="R59" s="11" t="n">
        <f aca="false">$E59*12</f>
        <v>96000</v>
      </c>
      <c r="S59" s="11" t="n">
        <f aca="false">$E59*13</f>
        <v>104000</v>
      </c>
      <c r="T59" s="11" t="n">
        <f aca="false">$E59*14</f>
        <v>112000</v>
      </c>
      <c r="U59" s="11" t="n">
        <f aca="false">$E59*15</f>
        <v>120000</v>
      </c>
      <c r="V59" s="11" t="n">
        <f aca="false">$E59*16</f>
        <v>128000</v>
      </c>
      <c r="W59" s="11" t="n">
        <f aca="false">$E59*17</f>
        <v>136000</v>
      </c>
      <c r="X59" s="11" t="n">
        <f aca="false">$E59*18</f>
        <v>144000</v>
      </c>
      <c r="Y59" s="11" t="n">
        <f aca="false">$E59*19</f>
        <v>152000</v>
      </c>
      <c r="Z59" s="11" t="n">
        <f aca="false">$E59*20</f>
        <v>160000</v>
      </c>
    </row>
    <row r="60" customFormat="false" ht="15" hidden="false" customHeight="false" outlineLevel="0" collapsed="false">
      <c r="A60" s="0" t="s">
        <v>248</v>
      </c>
      <c r="B60" s="0" t="s">
        <v>176</v>
      </c>
      <c r="C60" s="0" t="n">
        <v>3</v>
      </c>
      <c r="D60" s="0" t="n">
        <v>3.7</v>
      </c>
      <c r="E60" s="11" t="n">
        <v>1884</v>
      </c>
      <c r="F60" s="11"/>
      <c r="G60" s="11" t="n">
        <f aca="false">$E60*1</f>
        <v>1884</v>
      </c>
      <c r="H60" s="11" t="n">
        <f aca="false">$E60*2</f>
        <v>3768</v>
      </c>
      <c r="I60" s="11" t="n">
        <f aca="false">$E60*3</f>
        <v>5652</v>
      </c>
      <c r="J60" s="11" t="n">
        <f aca="false">$E60*4</f>
        <v>7536</v>
      </c>
      <c r="K60" s="11" t="n">
        <f aca="false">$E60*5</f>
        <v>9420</v>
      </c>
      <c r="L60" s="11" t="n">
        <f aca="false">$E60*6</f>
        <v>11304</v>
      </c>
      <c r="M60" s="11" t="n">
        <f aca="false">$E60*7</f>
        <v>13188</v>
      </c>
      <c r="N60" s="11" t="n">
        <f aca="false">$E60*8</f>
        <v>15072</v>
      </c>
      <c r="O60" s="11" t="n">
        <f aca="false">$E60*9</f>
        <v>16956</v>
      </c>
      <c r="P60" s="11" t="n">
        <f aca="false">$E60*10</f>
        <v>18840</v>
      </c>
      <c r="Q60" s="11" t="n">
        <f aca="false">$E60*11</f>
        <v>20724</v>
      </c>
      <c r="R60" s="11" t="n">
        <f aca="false">$E60*12</f>
        <v>22608</v>
      </c>
      <c r="S60" s="11" t="n">
        <f aca="false">$E60*13</f>
        <v>24492</v>
      </c>
      <c r="T60" s="11" t="n">
        <f aca="false">$E60*14</f>
        <v>26376</v>
      </c>
      <c r="U60" s="11" t="n">
        <f aca="false">$E60*15</f>
        <v>28260</v>
      </c>
      <c r="V60" s="11" t="n">
        <f aca="false">$E60*16</f>
        <v>30144</v>
      </c>
      <c r="W60" s="11" t="n">
        <f aca="false">$E60*17</f>
        <v>32028</v>
      </c>
      <c r="X60" s="11" t="n">
        <f aca="false">$E60*18</f>
        <v>33912</v>
      </c>
      <c r="Y60" s="11" t="n">
        <f aca="false">$E60*19</f>
        <v>35796</v>
      </c>
      <c r="Z60" s="11" t="n">
        <f aca="false">$E60*20</f>
        <v>37680</v>
      </c>
    </row>
    <row r="61" customFormat="false" ht="15" hidden="false" customHeight="false" outlineLevel="0" collapsed="false">
      <c r="A61" s="0" t="s">
        <v>249</v>
      </c>
      <c r="B61" s="0" t="s">
        <v>49</v>
      </c>
      <c r="C61" s="0" t="n">
        <v>5</v>
      </c>
      <c r="D61" s="0" t="n">
        <v>3.9</v>
      </c>
      <c r="E61" s="11" t="n">
        <v>7268</v>
      </c>
      <c r="F61" s="11" t="n">
        <v>872</v>
      </c>
      <c r="G61" s="11" t="n">
        <f aca="false">$E61*1</f>
        <v>7268</v>
      </c>
      <c r="H61" s="11" t="n">
        <f aca="false">$E61*2</f>
        <v>14536</v>
      </c>
      <c r="I61" s="11" t="n">
        <f aca="false">$E61*3</f>
        <v>21804</v>
      </c>
      <c r="J61" s="11" t="n">
        <f aca="false">$E61*4</f>
        <v>29072</v>
      </c>
      <c r="K61" s="11" t="n">
        <f aca="false">$E61*5</f>
        <v>36340</v>
      </c>
      <c r="L61" s="11" t="n">
        <f aca="false">$E61*6</f>
        <v>43608</v>
      </c>
      <c r="M61" s="11" t="n">
        <f aca="false">$E61*7</f>
        <v>50876</v>
      </c>
      <c r="N61" s="11" t="n">
        <f aca="false">$E61*8</f>
        <v>58144</v>
      </c>
      <c r="O61" s="11" t="n">
        <f aca="false">$E61*9</f>
        <v>65412</v>
      </c>
      <c r="P61" s="11" t="n">
        <f aca="false">$E61*10</f>
        <v>72680</v>
      </c>
      <c r="Q61" s="11" t="n">
        <f aca="false">$E61*11</f>
        <v>79948</v>
      </c>
      <c r="R61" s="11" t="n">
        <f aca="false">$E61*12</f>
        <v>87216</v>
      </c>
      <c r="S61" s="11" t="n">
        <f aca="false">$E61*13</f>
        <v>94484</v>
      </c>
      <c r="T61" s="11" t="n">
        <f aca="false">$E61*14</f>
        <v>101752</v>
      </c>
      <c r="U61" s="11" t="n">
        <f aca="false">$E61*15</f>
        <v>109020</v>
      </c>
      <c r="V61" s="11" t="n">
        <f aca="false">$E61*16</f>
        <v>116288</v>
      </c>
      <c r="W61" s="11" t="n">
        <f aca="false">$E61*17</f>
        <v>123556</v>
      </c>
      <c r="X61" s="11" t="n">
        <f aca="false">$E61*18</f>
        <v>130824</v>
      </c>
      <c r="Y61" s="11" t="n">
        <f aca="false">$E61*19</f>
        <v>138092</v>
      </c>
      <c r="Z61" s="11" t="n">
        <f aca="false">$E61*20</f>
        <v>145360</v>
      </c>
    </row>
    <row r="62" customFormat="false" ht="15" hidden="false" customHeight="false" outlineLevel="0" collapsed="false">
      <c r="A62" s="0" t="s">
        <v>250</v>
      </c>
      <c r="B62" s="0" t="s">
        <v>28</v>
      </c>
      <c r="D62" s="0" t="n">
        <v>4.3</v>
      </c>
      <c r="E62" s="11" t="n">
        <v>1295</v>
      </c>
      <c r="F62" s="11" t="n">
        <v>294</v>
      </c>
      <c r="G62" s="11" t="n">
        <f aca="false">$E62*1</f>
        <v>1295</v>
      </c>
      <c r="H62" s="11" t="n">
        <f aca="false">$E62*2</f>
        <v>2590</v>
      </c>
      <c r="I62" s="11" t="n">
        <f aca="false">$E62*3</f>
        <v>3885</v>
      </c>
      <c r="J62" s="11" t="n">
        <f aca="false">$E62*4</f>
        <v>5180</v>
      </c>
      <c r="K62" s="11" t="n">
        <f aca="false">$E62*5</f>
        <v>6475</v>
      </c>
      <c r="L62" s="11" t="n">
        <f aca="false">$E62*6</f>
        <v>7770</v>
      </c>
      <c r="M62" s="11" t="n">
        <f aca="false">$E62*7</f>
        <v>9065</v>
      </c>
      <c r="N62" s="11" t="n">
        <f aca="false">$E62*8</f>
        <v>10360</v>
      </c>
      <c r="O62" s="11" t="n">
        <f aca="false">$E62*9</f>
        <v>11655</v>
      </c>
      <c r="P62" s="11" t="n">
        <f aca="false">$E62*10</f>
        <v>12950</v>
      </c>
      <c r="Q62" s="11" t="n">
        <f aca="false">$E62*11</f>
        <v>14245</v>
      </c>
      <c r="R62" s="11" t="n">
        <f aca="false">$E62*12</f>
        <v>15540</v>
      </c>
      <c r="S62" s="11" t="n">
        <f aca="false">$E62*13</f>
        <v>16835</v>
      </c>
      <c r="T62" s="11" t="n">
        <f aca="false">$E62*14</f>
        <v>18130</v>
      </c>
      <c r="U62" s="11" t="n">
        <f aca="false">$E62*15</f>
        <v>19425</v>
      </c>
      <c r="V62" s="11" t="n">
        <f aca="false">$E62*16</f>
        <v>20720</v>
      </c>
      <c r="W62" s="11" t="n">
        <f aca="false">$E62*17</f>
        <v>22015</v>
      </c>
      <c r="X62" s="11" t="n">
        <f aca="false">$E62*18</f>
        <v>23310</v>
      </c>
      <c r="Y62" s="11" t="n">
        <f aca="false">$E62*19</f>
        <v>24605</v>
      </c>
      <c r="Z62" s="11" t="n">
        <f aca="false">$E62*20</f>
        <v>25900</v>
      </c>
    </row>
    <row r="63" customFormat="false" ht="15" hidden="false" customHeight="false" outlineLevel="0" collapsed="false">
      <c r="A63" s="0" t="s">
        <v>251</v>
      </c>
      <c r="B63" s="0" t="s">
        <v>182</v>
      </c>
      <c r="C63" s="0" t="n">
        <v>4</v>
      </c>
      <c r="D63" s="0" t="n">
        <v>3.4</v>
      </c>
      <c r="E63" s="11" t="n">
        <v>1586</v>
      </c>
      <c r="F63" s="11" t="n">
        <v>418</v>
      </c>
      <c r="G63" s="11" t="n">
        <f aca="false">$E63*1</f>
        <v>1586</v>
      </c>
      <c r="H63" s="11" t="n">
        <f aca="false">$E63*2</f>
        <v>3172</v>
      </c>
      <c r="I63" s="11" t="n">
        <f aca="false">$E63*3</f>
        <v>4758</v>
      </c>
      <c r="J63" s="11" t="n">
        <f aca="false">$E63*4</f>
        <v>6344</v>
      </c>
      <c r="K63" s="11" t="n">
        <f aca="false">$E63*5</f>
        <v>7930</v>
      </c>
      <c r="L63" s="11" t="n">
        <f aca="false">$E63*6</f>
        <v>9516</v>
      </c>
      <c r="M63" s="11" t="n">
        <f aca="false">$E63*7</f>
        <v>11102</v>
      </c>
      <c r="N63" s="11" t="n">
        <f aca="false">$E63*8</f>
        <v>12688</v>
      </c>
      <c r="O63" s="11" t="n">
        <f aca="false">$E63*9</f>
        <v>14274</v>
      </c>
      <c r="P63" s="11" t="n">
        <f aca="false">$E63*10</f>
        <v>15860</v>
      </c>
      <c r="Q63" s="11" t="n">
        <f aca="false">$E63*11</f>
        <v>17446</v>
      </c>
      <c r="R63" s="11" t="n">
        <f aca="false">$E63*12</f>
        <v>19032</v>
      </c>
      <c r="S63" s="11" t="n">
        <f aca="false">$E63*13</f>
        <v>20618</v>
      </c>
      <c r="T63" s="11" t="n">
        <f aca="false">$E63*14</f>
        <v>22204</v>
      </c>
      <c r="U63" s="11" t="n">
        <f aca="false">$E63*15</f>
        <v>23790</v>
      </c>
      <c r="V63" s="11" t="n">
        <f aca="false">$E63*16</f>
        <v>25376</v>
      </c>
      <c r="W63" s="11" t="n">
        <f aca="false">$E63*17</f>
        <v>26962</v>
      </c>
      <c r="X63" s="11" t="n">
        <f aca="false">$E63*18</f>
        <v>28548</v>
      </c>
      <c r="Y63" s="11" t="n">
        <f aca="false">$E63*19</f>
        <v>30134</v>
      </c>
      <c r="Z63" s="11" t="n">
        <f aca="false">$E63*20</f>
        <v>31720</v>
      </c>
    </row>
    <row r="64" customFormat="false" ht="15" hidden="false" customHeight="false" outlineLevel="0" collapsed="false">
      <c r="A64" s="0" t="s">
        <v>252</v>
      </c>
      <c r="B64" s="0" t="s">
        <v>211</v>
      </c>
      <c r="C64" s="0" t="n">
        <v>4</v>
      </c>
      <c r="D64" s="0" t="n">
        <v>3.8</v>
      </c>
      <c r="E64" s="11" t="n">
        <v>3500</v>
      </c>
      <c r="F64" s="11"/>
      <c r="G64" s="11" t="n">
        <f aca="false">$E64*1</f>
        <v>3500</v>
      </c>
      <c r="H64" s="11" t="n">
        <f aca="false">$E64*2</f>
        <v>7000</v>
      </c>
      <c r="I64" s="11" t="n">
        <f aca="false">$E64*3</f>
        <v>10500</v>
      </c>
      <c r="J64" s="11" t="n">
        <f aca="false">$E64*4</f>
        <v>14000</v>
      </c>
      <c r="K64" s="11" t="n">
        <f aca="false">$E64*5</f>
        <v>17500</v>
      </c>
      <c r="L64" s="11" t="n">
        <f aca="false">$E64*6</f>
        <v>21000</v>
      </c>
      <c r="M64" s="11" t="n">
        <f aca="false">$E64*7</f>
        <v>24500</v>
      </c>
      <c r="N64" s="11" t="n">
        <f aca="false">$E64*8</f>
        <v>28000</v>
      </c>
      <c r="O64" s="11" t="n">
        <f aca="false">$E64*9</f>
        <v>31500</v>
      </c>
      <c r="P64" s="11" t="n">
        <f aca="false">$E64*10</f>
        <v>35000</v>
      </c>
      <c r="Q64" s="11" t="n">
        <f aca="false">$E64*11</f>
        <v>38500</v>
      </c>
      <c r="R64" s="11" t="n">
        <f aca="false">$E64*12</f>
        <v>42000</v>
      </c>
      <c r="S64" s="11" t="n">
        <f aca="false">$E64*13</f>
        <v>45500</v>
      </c>
      <c r="T64" s="11" t="n">
        <f aca="false">$E64*14</f>
        <v>49000</v>
      </c>
      <c r="U64" s="11" t="n">
        <f aca="false">$E64*15</f>
        <v>52500</v>
      </c>
      <c r="V64" s="11" t="n">
        <f aca="false">$E64*16</f>
        <v>56000</v>
      </c>
      <c r="W64" s="11" t="n">
        <f aca="false">$E64*17</f>
        <v>59500</v>
      </c>
      <c r="X64" s="11" t="n">
        <f aca="false">$E64*18</f>
        <v>63000</v>
      </c>
      <c r="Y64" s="11" t="n">
        <f aca="false">$E64*19</f>
        <v>66500</v>
      </c>
      <c r="Z64" s="11" t="n">
        <f aca="false">$E64*20</f>
        <v>70000</v>
      </c>
    </row>
    <row r="65" customFormat="false" ht="15" hidden="false" customHeight="false" outlineLevel="0" collapsed="false">
      <c r="A65" s="0" t="s">
        <v>253</v>
      </c>
      <c r="B65" s="0" t="s">
        <v>195</v>
      </c>
      <c r="C65" s="0" t="n">
        <v>3</v>
      </c>
      <c r="D65" s="0" t="n">
        <v>4</v>
      </c>
      <c r="E65" s="11" t="n">
        <v>1645</v>
      </c>
      <c r="F65" s="11" t="n">
        <v>333</v>
      </c>
      <c r="G65" s="11" t="n">
        <f aca="false">$E65*1</f>
        <v>1645</v>
      </c>
      <c r="H65" s="11" t="n">
        <f aca="false">$E65*2</f>
        <v>3290</v>
      </c>
      <c r="I65" s="11" t="n">
        <f aca="false">$E65*3</f>
        <v>4935</v>
      </c>
      <c r="J65" s="11" t="n">
        <f aca="false">$E65*4</f>
        <v>6580</v>
      </c>
      <c r="K65" s="11" t="n">
        <f aca="false">$E65*5</f>
        <v>8225</v>
      </c>
      <c r="L65" s="11" t="n">
        <f aca="false">$E65*6</f>
        <v>9870</v>
      </c>
      <c r="M65" s="11" t="n">
        <f aca="false">$E65*7</f>
        <v>11515</v>
      </c>
      <c r="N65" s="11" t="n">
        <f aca="false">$E65*8</f>
        <v>13160</v>
      </c>
      <c r="O65" s="11" t="n">
        <f aca="false">$E65*9</f>
        <v>14805</v>
      </c>
      <c r="P65" s="11" t="n">
        <f aca="false">$E65*10</f>
        <v>16450</v>
      </c>
      <c r="Q65" s="11" t="n">
        <f aca="false">$E65*11</f>
        <v>18095</v>
      </c>
      <c r="R65" s="11" t="n">
        <f aca="false">$E65*12</f>
        <v>19740</v>
      </c>
      <c r="S65" s="11" t="n">
        <f aca="false">$E65*13</f>
        <v>21385</v>
      </c>
      <c r="T65" s="11" t="n">
        <f aca="false">$E65*14</f>
        <v>23030</v>
      </c>
      <c r="U65" s="11" t="n">
        <f aca="false">$E65*15</f>
        <v>24675</v>
      </c>
      <c r="V65" s="11" t="n">
        <f aca="false">$E65*16</f>
        <v>26320</v>
      </c>
      <c r="W65" s="11" t="n">
        <f aca="false">$E65*17</f>
        <v>27965</v>
      </c>
      <c r="X65" s="11" t="n">
        <f aca="false">$E65*18</f>
        <v>29610</v>
      </c>
      <c r="Y65" s="11" t="n">
        <f aca="false">$E65*19</f>
        <v>31255</v>
      </c>
      <c r="Z65" s="11" t="n">
        <f aca="false">$E65*20</f>
        <v>32900</v>
      </c>
    </row>
    <row r="66" customFormat="false" ht="15" hidden="false" customHeight="false" outlineLevel="0" collapsed="false">
      <c r="A66" s="0" t="s">
        <v>254</v>
      </c>
      <c r="B66" s="0" t="s">
        <v>255</v>
      </c>
      <c r="C66" s="0" t="n">
        <v>4</v>
      </c>
      <c r="D66" s="0" t="n">
        <v>4.7</v>
      </c>
      <c r="E66" s="11" t="n">
        <v>6345</v>
      </c>
      <c r="F66" s="11" t="n">
        <v>1350</v>
      </c>
      <c r="G66" s="11" t="n">
        <f aca="false">$E66*1</f>
        <v>6345</v>
      </c>
      <c r="H66" s="11" t="n">
        <f aca="false">$E66*2</f>
        <v>12690</v>
      </c>
      <c r="I66" s="11" t="n">
        <f aca="false">$E66*3</f>
        <v>19035</v>
      </c>
      <c r="J66" s="11" t="n">
        <f aca="false">$E66*4</f>
        <v>25380</v>
      </c>
      <c r="K66" s="11" t="n">
        <f aca="false">$E66*5</f>
        <v>31725</v>
      </c>
      <c r="L66" s="11" t="n">
        <f aca="false">$E66*6</f>
        <v>38070</v>
      </c>
      <c r="M66" s="11" t="n">
        <f aca="false">$E66*7</f>
        <v>44415</v>
      </c>
      <c r="N66" s="11" t="n">
        <f aca="false">$E66*8</f>
        <v>50760</v>
      </c>
      <c r="O66" s="11" t="n">
        <f aca="false">$E66*9</f>
        <v>57105</v>
      </c>
      <c r="P66" s="11" t="n">
        <f aca="false">$E66*10</f>
        <v>63450</v>
      </c>
      <c r="Q66" s="11" t="n">
        <f aca="false">$E66*11</f>
        <v>69795</v>
      </c>
      <c r="R66" s="11" t="n">
        <f aca="false">$E66*12</f>
        <v>76140</v>
      </c>
      <c r="S66" s="11" t="n">
        <f aca="false">$E66*13</f>
        <v>82485</v>
      </c>
      <c r="T66" s="11" t="n">
        <f aca="false">$E66*14</f>
        <v>88830</v>
      </c>
      <c r="U66" s="11" t="n">
        <f aca="false">$E66*15</f>
        <v>95175</v>
      </c>
      <c r="V66" s="11" t="n">
        <f aca="false">$E66*16</f>
        <v>101520</v>
      </c>
      <c r="W66" s="11" t="n">
        <f aca="false">$E66*17</f>
        <v>107865</v>
      </c>
      <c r="X66" s="11" t="n">
        <f aca="false">$E66*18</f>
        <v>114210</v>
      </c>
      <c r="Y66" s="11" t="n">
        <f aca="false">$E66*19</f>
        <v>120555</v>
      </c>
      <c r="Z66" s="11" t="n">
        <f aca="false">$E66*20</f>
        <v>126900</v>
      </c>
    </row>
    <row r="67" customFormat="false" ht="15" hidden="false" customHeight="false" outlineLevel="0" collapsed="false">
      <c r="A67" s="0" t="s">
        <v>256</v>
      </c>
      <c r="B67" s="0" t="s">
        <v>184</v>
      </c>
      <c r="C67" s="0" t="n">
        <v>5</v>
      </c>
      <c r="D67" s="0" t="n">
        <v>4.5</v>
      </c>
      <c r="E67" s="11" t="n">
        <v>11700</v>
      </c>
      <c r="F67" s="11"/>
      <c r="G67" s="11" t="n">
        <f aca="false">$E67*1</f>
        <v>11700</v>
      </c>
      <c r="H67" s="11" t="n">
        <f aca="false">$E67*2</f>
        <v>23400</v>
      </c>
      <c r="I67" s="11" t="n">
        <f aca="false">$E67*3</f>
        <v>35100</v>
      </c>
      <c r="J67" s="11" t="n">
        <f aca="false">$E67*4</f>
        <v>46800</v>
      </c>
      <c r="K67" s="11" t="n">
        <f aca="false">$E67*5</f>
        <v>58500</v>
      </c>
      <c r="L67" s="11" t="n">
        <f aca="false">$E67*6</f>
        <v>70200</v>
      </c>
      <c r="M67" s="11" t="n">
        <f aca="false">$E67*7</f>
        <v>81900</v>
      </c>
      <c r="N67" s="11" t="n">
        <f aca="false">$E67*8</f>
        <v>93600</v>
      </c>
      <c r="O67" s="11" t="n">
        <f aca="false">$E67*9</f>
        <v>105300</v>
      </c>
      <c r="P67" s="11" t="n">
        <f aca="false">$E67*10</f>
        <v>117000</v>
      </c>
      <c r="Q67" s="11" t="n">
        <f aca="false">$E67*11</f>
        <v>128700</v>
      </c>
      <c r="R67" s="11" t="n">
        <f aca="false">$E67*12</f>
        <v>140400</v>
      </c>
      <c r="S67" s="11" t="n">
        <f aca="false">$E67*13</f>
        <v>152100</v>
      </c>
      <c r="T67" s="11" t="n">
        <f aca="false">$E67*14</f>
        <v>163800</v>
      </c>
      <c r="U67" s="11" t="n">
        <f aca="false">$E67*15</f>
        <v>175500</v>
      </c>
      <c r="V67" s="11" t="n">
        <f aca="false">$E67*16</f>
        <v>187200</v>
      </c>
      <c r="W67" s="11" t="n">
        <f aca="false">$E67*17</f>
        <v>198900</v>
      </c>
      <c r="X67" s="11" t="n">
        <f aca="false">$E67*18</f>
        <v>210600</v>
      </c>
      <c r="Y67" s="11" t="n">
        <f aca="false">$E67*19</f>
        <v>222300</v>
      </c>
      <c r="Z67" s="11" t="n">
        <f aca="false">$E67*20</f>
        <v>234000</v>
      </c>
    </row>
    <row r="68" customFormat="false" ht="15" hidden="false" customHeight="false" outlineLevel="0" collapsed="false">
      <c r="A68" s="0" t="s">
        <v>257</v>
      </c>
      <c r="B68" s="0" t="s">
        <v>176</v>
      </c>
      <c r="C68" s="0" t="n">
        <v>3</v>
      </c>
      <c r="D68" s="0" t="n">
        <v>4</v>
      </c>
      <c r="E68" s="11" t="n">
        <v>2791</v>
      </c>
      <c r="F68" s="11" t="n">
        <v>564</v>
      </c>
      <c r="G68" s="11" t="n">
        <f aca="false">$E68*1</f>
        <v>2791</v>
      </c>
      <c r="H68" s="11" t="n">
        <f aca="false">$E68*2</f>
        <v>5582</v>
      </c>
      <c r="I68" s="11" t="n">
        <f aca="false">$E68*3</f>
        <v>8373</v>
      </c>
      <c r="J68" s="11" t="n">
        <f aca="false">$E68*4</f>
        <v>11164</v>
      </c>
      <c r="K68" s="11" t="n">
        <f aca="false">$E68*5</f>
        <v>13955</v>
      </c>
      <c r="L68" s="11" t="n">
        <f aca="false">$E68*6</f>
        <v>16746</v>
      </c>
      <c r="M68" s="11" t="n">
        <f aca="false">$E68*7</f>
        <v>19537</v>
      </c>
      <c r="N68" s="11" t="n">
        <f aca="false">$E68*8</f>
        <v>22328</v>
      </c>
      <c r="O68" s="11" t="n">
        <f aca="false">$E68*9</f>
        <v>25119</v>
      </c>
      <c r="P68" s="11" t="n">
        <f aca="false">$E68*10</f>
        <v>27910</v>
      </c>
      <c r="Q68" s="11" t="n">
        <f aca="false">$E68*11</f>
        <v>30701</v>
      </c>
      <c r="R68" s="11" t="n">
        <f aca="false">$E68*12</f>
        <v>33492</v>
      </c>
      <c r="S68" s="11" t="n">
        <f aca="false">$E68*13</f>
        <v>36283</v>
      </c>
      <c r="T68" s="11" t="n">
        <f aca="false">$E68*14</f>
        <v>39074</v>
      </c>
      <c r="U68" s="11" t="n">
        <f aca="false">$E68*15</f>
        <v>41865</v>
      </c>
      <c r="V68" s="11" t="n">
        <f aca="false">$E68*16</f>
        <v>44656</v>
      </c>
      <c r="W68" s="11" t="n">
        <f aca="false">$E68*17</f>
        <v>47447</v>
      </c>
      <c r="X68" s="11" t="n">
        <f aca="false">$E68*18</f>
        <v>50238</v>
      </c>
      <c r="Y68" s="11" t="n">
        <f aca="false">$E68*19</f>
        <v>53029</v>
      </c>
      <c r="Z68" s="11" t="n">
        <f aca="false">$E68*20</f>
        <v>55820</v>
      </c>
    </row>
    <row r="69" customFormat="false" ht="15" hidden="false" customHeight="false" outlineLevel="0" collapsed="false">
      <c r="A69" s="0" t="s">
        <v>258</v>
      </c>
      <c r="B69" s="0" t="s">
        <v>203</v>
      </c>
      <c r="C69" s="0" t="n">
        <v>4</v>
      </c>
      <c r="D69" s="0" t="n">
        <v>3.9</v>
      </c>
      <c r="E69" s="11" t="n">
        <v>3723</v>
      </c>
      <c r="F69" s="11" t="n">
        <v>752</v>
      </c>
      <c r="G69" s="11" t="n">
        <f aca="false">$E69*1</f>
        <v>3723</v>
      </c>
      <c r="H69" s="11" t="n">
        <f aca="false">$E69*2</f>
        <v>7446</v>
      </c>
      <c r="I69" s="11" t="n">
        <f aca="false">$E69*3</f>
        <v>11169</v>
      </c>
      <c r="J69" s="11" t="n">
        <f aca="false">$E69*4</f>
        <v>14892</v>
      </c>
      <c r="K69" s="11" t="n">
        <f aca="false">$E69*5</f>
        <v>18615</v>
      </c>
      <c r="L69" s="11" t="n">
        <f aca="false">$E69*6</f>
        <v>22338</v>
      </c>
      <c r="M69" s="11" t="n">
        <f aca="false">$E69*7</f>
        <v>26061</v>
      </c>
      <c r="N69" s="11" t="n">
        <f aca="false">$E69*8</f>
        <v>29784</v>
      </c>
      <c r="O69" s="11" t="n">
        <f aca="false">$E69*9</f>
        <v>33507</v>
      </c>
      <c r="P69" s="11" t="n">
        <f aca="false">$E69*10</f>
        <v>37230</v>
      </c>
      <c r="Q69" s="11" t="n">
        <f aca="false">$E69*11</f>
        <v>40953</v>
      </c>
      <c r="R69" s="11" t="n">
        <f aca="false">$E69*12</f>
        <v>44676</v>
      </c>
      <c r="S69" s="11" t="n">
        <f aca="false">$E69*13</f>
        <v>48399</v>
      </c>
      <c r="T69" s="11" t="n">
        <f aca="false">$E69*14</f>
        <v>52122</v>
      </c>
      <c r="U69" s="11" t="n">
        <f aca="false">$E69*15</f>
        <v>55845</v>
      </c>
      <c r="V69" s="11" t="n">
        <f aca="false">$E69*16</f>
        <v>59568</v>
      </c>
      <c r="W69" s="11" t="n">
        <f aca="false">$E69*17</f>
        <v>63291</v>
      </c>
      <c r="X69" s="11" t="n">
        <f aca="false">$E69*18</f>
        <v>67014</v>
      </c>
      <c r="Y69" s="11" t="n">
        <f aca="false">$E69*19</f>
        <v>70737</v>
      </c>
      <c r="Z69" s="11" t="n">
        <f aca="false">$E69*20</f>
        <v>74460</v>
      </c>
    </row>
    <row r="70" customFormat="false" ht="15" hidden="false" customHeight="false" outlineLevel="0" collapsed="false">
      <c r="A70" s="0" t="s">
        <v>259</v>
      </c>
      <c r="B70" s="0" t="s">
        <v>209</v>
      </c>
      <c r="C70" s="0" t="n">
        <v>3</v>
      </c>
      <c r="D70" s="0" t="n">
        <v>3.9</v>
      </c>
      <c r="E70" s="11" t="n">
        <v>3084</v>
      </c>
      <c r="F70" s="11" t="n">
        <v>836</v>
      </c>
      <c r="G70" s="11" t="n">
        <f aca="false">$E70*1</f>
        <v>3084</v>
      </c>
      <c r="H70" s="11" t="n">
        <f aca="false">$E70*2</f>
        <v>6168</v>
      </c>
      <c r="I70" s="11" t="n">
        <f aca="false">$E70*3</f>
        <v>9252</v>
      </c>
      <c r="J70" s="11" t="n">
        <f aca="false">$E70*4</f>
        <v>12336</v>
      </c>
      <c r="K70" s="11" t="n">
        <f aca="false">$E70*5</f>
        <v>15420</v>
      </c>
      <c r="L70" s="11" t="n">
        <f aca="false">$E70*6</f>
        <v>18504</v>
      </c>
      <c r="M70" s="11" t="n">
        <f aca="false">$E70*7</f>
        <v>21588</v>
      </c>
      <c r="N70" s="11" t="n">
        <f aca="false">$E70*8</f>
        <v>24672</v>
      </c>
      <c r="O70" s="11" t="n">
        <f aca="false">$E70*9</f>
        <v>27756</v>
      </c>
      <c r="P70" s="11" t="n">
        <f aca="false">$E70*10</f>
        <v>30840</v>
      </c>
      <c r="Q70" s="11" t="n">
        <f aca="false">$E70*11</f>
        <v>33924</v>
      </c>
      <c r="R70" s="11" t="n">
        <f aca="false">$E70*12</f>
        <v>37008</v>
      </c>
      <c r="S70" s="11" t="n">
        <f aca="false">$E70*13</f>
        <v>40092</v>
      </c>
      <c r="T70" s="11" t="n">
        <f aca="false">$E70*14</f>
        <v>43176</v>
      </c>
      <c r="U70" s="11" t="n">
        <f aca="false">$E70*15</f>
        <v>46260</v>
      </c>
      <c r="V70" s="11" t="n">
        <f aca="false">$E70*16</f>
        <v>49344</v>
      </c>
      <c r="W70" s="11" t="n">
        <f aca="false">$E70*17</f>
        <v>52428</v>
      </c>
      <c r="X70" s="11" t="n">
        <f aca="false">$E70*18</f>
        <v>55512</v>
      </c>
      <c r="Y70" s="11" t="n">
        <f aca="false">$E70*19</f>
        <v>58596</v>
      </c>
      <c r="Z70" s="11" t="n">
        <f aca="false">$E70*20</f>
        <v>61680</v>
      </c>
    </row>
    <row r="71" customFormat="false" ht="15" hidden="false" customHeight="false" outlineLevel="0" collapsed="false">
      <c r="A71" s="0" t="s">
        <v>260</v>
      </c>
      <c r="B71" s="0" t="s">
        <v>102</v>
      </c>
      <c r="D71" s="0" t="n">
        <v>4.2</v>
      </c>
      <c r="E71" s="11" t="n">
        <v>1005</v>
      </c>
      <c r="F71" s="11" t="n">
        <v>325</v>
      </c>
      <c r="G71" s="11" t="n">
        <f aca="false">$E71*1</f>
        <v>1005</v>
      </c>
      <c r="H71" s="11" t="n">
        <f aca="false">$E71*2</f>
        <v>2010</v>
      </c>
      <c r="I71" s="11" t="n">
        <f aca="false">$E71*3</f>
        <v>3015</v>
      </c>
      <c r="J71" s="11" t="n">
        <f aca="false">$E71*4</f>
        <v>4020</v>
      </c>
      <c r="K71" s="11" t="n">
        <f aca="false">$E71*5</f>
        <v>5025</v>
      </c>
      <c r="L71" s="11" t="n">
        <f aca="false">$E71*6</f>
        <v>6030</v>
      </c>
      <c r="M71" s="11" t="n">
        <f aca="false">$E71*7</f>
        <v>7035</v>
      </c>
      <c r="N71" s="11" t="n">
        <f aca="false">$E71*8</f>
        <v>8040</v>
      </c>
      <c r="O71" s="11" t="n">
        <f aca="false">$E71*9</f>
        <v>9045</v>
      </c>
      <c r="P71" s="11" t="n">
        <f aca="false">$E71*10</f>
        <v>10050</v>
      </c>
      <c r="Q71" s="11" t="n">
        <f aca="false">$E71*11</f>
        <v>11055</v>
      </c>
      <c r="R71" s="11" t="n">
        <f aca="false">$E71*12</f>
        <v>12060</v>
      </c>
      <c r="S71" s="11" t="n">
        <f aca="false">$E71*13</f>
        <v>13065</v>
      </c>
      <c r="T71" s="11" t="n">
        <f aca="false">$E71*14</f>
        <v>14070</v>
      </c>
      <c r="U71" s="11" t="n">
        <f aca="false">$E71*15</f>
        <v>15075</v>
      </c>
      <c r="V71" s="11" t="n">
        <f aca="false">$E71*16</f>
        <v>16080</v>
      </c>
      <c r="W71" s="11" t="n">
        <f aca="false">$E71*17</f>
        <v>17085</v>
      </c>
      <c r="X71" s="11" t="n">
        <f aca="false">$E71*18</f>
        <v>18090</v>
      </c>
      <c r="Y71" s="11" t="n">
        <f aca="false">$E71*19</f>
        <v>19095</v>
      </c>
      <c r="Z71" s="11" t="n">
        <f aca="false">$E71*20</f>
        <v>20100</v>
      </c>
    </row>
    <row r="72" customFormat="false" ht="15" hidden="false" customHeight="false" outlineLevel="0" collapsed="false">
      <c r="A72" s="0" t="s">
        <v>261</v>
      </c>
      <c r="B72" s="0" t="s">
        <v>195</v>
      </c>
      <c r="C72" s="0" t="n">
        <v>4</v>
      </c>
      <c r="D72" s="0" t="n">
        <v>3.8</v>
      </c>
      <c r="E72" s="11" t="n">
        <v>5292</v>
      </c>
      <c r="F72" s="11"/>
      <c r="G72" s="11" t="n">
        <f aca="false">$E72*1</f>
        <v>5292</v>
      </c>
      <c r="H72" s="11" t="n">
        <f aca="false">$E72*2</f>
        <v>10584</v>
      </c>
      <c r="I72" s="11" t="n">
        <f aca="false">$E72*3</f>
        <v>15876</v>
      </c>
      <c r="J72" s="11" t="n">
        <f aca="false">$E72*4</f>
        <v>21168</v>
      </c>
      <c r="K72" s="11" t="n">
        <f aca="false">$E72*5</f>
        <v>26460</v>
      </c>
      <c r="L72" s="11" t="n">
        <f aca="false">$E72*6</f>
        <v>31752</v>
      </c>
      <c r="M72" s="11" t="n">
        <f aca="false">$E72*7</f>
        <v>37044</v>
      </c>
      <c r="N72" s="11" t="n">
        <f aca="false">$E72*8</f>
        <v>42336</v>
      </c>
      <c r="O72" s="11" t="n">
        <f aca="false">$E72*9</f>
        <v>47628</v>
      </c>
      <c r="P72" s="11" t="n">
        <f aca="false">$E72*10</f>
        <v>52920</v>
      </c>
      <c r="Q72" s="11" t="n">
        <f aca="false">$E72*11</f>
        <v>58212</v>
      </c>
      <c r="R72" s="11" t="n">
        <f aca="false">$E72*12</f>
        <v>63504</v>
      </c>
      <c r="S72" s="11" t="n">
        <f aca="false">$E72*13</f>
        <v>68796</v>
      </c>
      <c r="T72" s="11" t="n">
        <f aca="false">$E72*14</f>
        <v>74088</v>
      </c>
      <c r="U72" s="11" t="n">
        <f aca="false">$E72*15</f>
        <v>79380</v>
      </c>
      <c r="V72" s="11" t="n">
        <f aca="false">$E72*16</f>
        <v>84672</v>
      </c>
      <c r="W72" s="11" t="n">
        <f aca="false">$E72*17</f>
        <v>89964</v>
      </c>
      <c r="X72" s="11" t="n">
        <f aca="false">$E72*18</f>
        <v>95256</v>
      </c>
      <c r="Y72" s="11" t="n">
        <f aca="false">$E72*19</f>
        <v>100548</v>
      </c>
      <c r="Z72" s="11" t="n">
        <f aca="false">$E72*20</f>
        <v>105840</v>
      </c>
    </row>
    <row r="73" customFormat="false" ht="15" hidden="false" customHeight="false" outlineLevel="0" collapsed="false">
      <c r="A73" s="0" t="s">
        <v>262</v>
      </c>
      <c r="B73" s="0" t="s">
        <v>228</v>
      </c>
      <c r="C73" s="0" t="n">
        <v>3</v>
      </c>
      <c r="D73" s="0" t="n">
        <v>4.2</v>
      </c>
      <c r="E73" s="11" t="n">
        <v>3510</v>
      </c>
      <c r="F73" s="11" t="n">
        <v>421</v>
      </c>
      <c r="G73" s="11" t="n">
        <f aca="false">$E73*1</f>
        <v>3510</v>
      </c>
      <c r="H73" s="11" t="n">
        <f aca="false">$E73*2</f>
        <v>7020</v>
      </c>
      <c r="I73" s="11" t="n">
        <f aca="false">$E73*3</f>
        <v>10530</v>
      </c>
      <c r="J73" s="11" t="n">
        <f aca="false">$E73*4</f>
        <v>14040</v>
      </c>
      <c r="K73" s="11" t="n">
        <f aca="false">$E73*5</f>
        <v>17550</v>
      </c>
      <c r="L73" s="11" t="n">
        <f aca="false">$E73*6</f>
        <v>21060</v>
      </c>
      <c r="M73" s="11" t="n">
        <f aca="false">$E73*7</f>
        <v>24570</v>
      </c>
      <c r="N73" s="11" t="n">
        <f aca="false">$E73*8</f>
        <v>28080</v>
      </c>
      <c r="O73" s="11" t="n">
        <f aca="false">$E73*9</f>
        <v>31590</v>
      </c>
      <c r="P73" s="11" t="n">
        <f aca="false">$E73*10</f>
        <v>35100</v>
      </c>
      <c r="Q73" s="11" t="n">
        <f aca="false">$E73*11</f>
        <v>38610</v>
      </c>
      <c r="R73" s="11" t="n">
        <f aca="false">$E73*12</f>
        <v>42120</v>
      </c>
      <c r="S73" s="11" t="n">
        <f aca="false">$E73*13</f>
        <v>45630</v>
      </c>
      <c r="T73" s="11" t="n">
        <f aca="false">$E73*14</f>
        <v>49140</v>
      </c>
      <c r="U73" s="11" t="n">
        <f aca="false">$E73*15</f>
        <v>52650</v>
      </c>
      <c r="V73" s="11" t="n">
        <f aca="false">$E73*16</f>
        <v>56160</v>
      </c>
      <c r="W73" s="11" t="n">
        <f aca="false">$E73*17</f>
        <v>59670</v>
      </c>
      <c r="X73" s="11" t="n">
        <f aca="false">$E73*18</f>
        <v>63180</v>
      </c>
      <c r="Y73" s="11" t="n">
        <f aca="false">$E73*19</f>
        <v>66690</v>
      </c>
      <c r="Z73" s="11" t="n">
        <f aca="false">$E73*20</f>
        <v>70200</v>
      </c>
    </row>
    <row r="74" customFormat="false" ht="15" hidden="false" customHeight="false" outlineLevel="0" collapsed="false">
      <c r="A74" s="0" t="s">
        <v>263</v>
      </c>
      <c r="B74" s="0" t="s">
        <v>216</v>
      </c>
      <c r="D74" s="0" t="n">
        <v>3.4</v>
      </c>
      <c r="E74" s="11" t="n">
        <v>2194</v>
      </c>
      <c r="F74" s="11" t="n">
        <v>539</v>
      </c>
      <c r="G74" s="11" t="n">
        <f aca="false">$E74*1</f>
        <v>2194</v>
      </c>
      <c r="H74" s="11" t="n">
        <f aca="false">$E74*2</f>
        <v>4388</v>
      </c>
      <c r="I74" s="11" t="n">
        <f aca="false">$E74*3</f>
        <v>6582</v>
      </c>
      <c r="J74" s="11" t="n">
        <f aca="false">$E74*4</f>
        <v>8776</v>
      </c>
      <c r="K74" s="11" t="n">
        <f aca="false">$E74*5</f>
        <v>10970</v>
      </c>
      <c r="L74" s="11" t="n">
        <f aca="false">$E74*6</f>
        <v>13164</v>
      </c>
      <c r="M74" s="11" t="n">
        <f aca="false">$E74*7</f>
        <v>15358</v>
      </c>
      <c r="N74" s="11" t="n">
        <f aca="false">$E74*8</f>
        <v>17552</v>
      </c>
      <c r="O74" s="11" t="n">
        <f aca="false">$E74*9</f>
        <v>19746</v>
      </c>
      <c r="P74" s="11" t="n">
        <f aca="false">$E74*10</f>
        <v>21940</v>
      </c>
      <c r="Q74" s="11" t="n">
        <f aca="false">$E74*11</f>
        <v>24134</v>
      </c>
      <c r="R74" s="11" t="n">
        <f aca="false">$E74*12</f>
        <v>26328</v>
      </c>
      <c r="S74" s="11" t="n">
        <f aca="false">$E74*13</f>
        <v>28522</v>
      </c>
      <c r="T74" s="11" t="n">
        <f aca="false">$E74*14</f>
        <v>30716</v>
      </c>
      <c r="U74" s="11" t="n">
        <f aca="false">$E74*15</f>
        <v>32910</v>
      </c>
      <c r="V74" s="11" t="n">
        <f aca="false">$E74*16</f>
        <v>35104</v>
      </c>
      <c r="W74" s="11" t="n">
        <f aca="false">$E74*17</f>
        <v>37298</v>
      </c>
      <c r="X74" s="11" t="n">
        <f aca="false">$E74*18</f>
        <v>39492</v>
      </c>
      <c r="Y74" s="11" t="n">
        <f aca="false">$E74*19</f>
        <v>41686</v>
      </c>
      <c r="Z74" s="11" t="n">
        <f aca="false">$E74*20</f>
        <v>43880</v>
      </c>
    </row>
    <row r="75" customFormat="false" ht="15" hidden="false" customHeight="false" outlineLevel="0" collapsed="false">
      <c r="A75" s="0" t="s">
        <v>264</v>
      </c>
      <c r="B75" s="0" t="s">
        <v>188</v>
      </c>
      <c r="D75" s="0" t="n">
        <v>3.3</v>
      </c>
      <c r="E75" s="11" t="n">
        <v>1999</v>
      </c>
      <c r="F75" s="11" t="n">
        <v>642</v>
      </c>
      <c r="G75" s="11" t="n">
        <f aca="false">$E75*1</f>
        <v>1999</v>
      </c>
      <c r="H75" s="11" t="n">
        <f aca="false">$E75*2</f>
        <v>3998</v>
      </c>
      <c r="I75" s="11" t="n">
        <f aca="false">$E75*3</f>
        <v>5997</v>
      </c>
      <c r="J75" s="11" t="n">
        <f aca="false">$E75*4</f>
        <v>7996</v>
      </c>
      <c r="K75" s="11" t="n">
        <f aca="false">$E75*5</f>
        <v>9995</v>
      </c>
      <c r="L75" s="11" t="n">
        <f aca="false">$E75*6</f>
        <v>11994</v>
      </c>
      <c r="M75" s="11" t="n">
        <f aca="false">$E75*7</f>
        <v>13993</v>
      </c>
      <c r="N75" s="11" t="n">
        <f aca="false">$E75*8</f>
        <v>15992</v>
      </c>
      <c r="O75" s="11" t="n">
        <f aca="false">$E75*9</f>
        <v>17991</v>
      </c>
      <c r="P75" s="11" t="n">
        <f aca="false">$E75*10</f>
        <v>19990</v>
      </c>
      <c r="Q75" s="11" t="n">
        <f aca="false">$E75*11</f>
        <v>21989</v>
      </c>
      <c r="R75" s="11" t="n">
        <f aca="false">$E75*12</f>
        <v>23988</v>
      </c>
      <c r="S75" s="11" t="n">
        <f aca="false">$E75*13</f>
        <v>25987</v>
      </c>
      <c r="T75" s="11" t="n">
        <f aca="false">$E75*14</f>
        <v>27986</v>
      </c>
      <c r="U75" s="11" t="n">
        <f aca="false">$E75*15</f>
        <v>29985</v>
      </c>
      <c r="V75" s="11" t="n">
        <f aca="false">$E75*16</f>
        <v>31984</v>
      </c>
      <c r="W75" s="11" t="n">
        <f aca="false">$E75*17</f>
        <v>33983</v>
      </c>
      <c r="X75" s="11" t="n">
        <f aca="false">$E75*18</f>
        <v>35982</v>
      </c>
      <c r="Y75" s="11" t="n">
        <f aca="false">$E75*19</f>
        <v>37981</v>
      </c>
      <c r="Z75" s="11" t="n">
        <f aca="false">$E75*20</f>
        <v>39980</v>
      </c>
    </row>
    <row r="76" customFormat="false" ht="15" hidden="false" customHeight="false" outlineLevel="0" collapsed="false">
      <c r="A76" s="0" t="s">
        <v>265</v>
      </c>
      <c r="B76" s="0" t="s">
        <v>91</v>
      </c>
      <c r="C76" s="0" t="n">
        <v>4</v>
      </c>
      <c r="D76" s="0" t="n">
        <v>3.9</v>
      </c>
      <c r="E76" s="11" t="n">
        <v>2264</v>
      </c>
      <c r="F76" s="11" t="n">
        <v>306</v>
      </c>
      <c r="G76" s="11" t="n">
        <f aca="false">$E76*1</f>
        <v>2264</v>
      </c>
      <c r="H76" s="11" t="n">
        <f aca="false">$E76*2</f>
        <v>4528</v>
      </c>
      <c r="I76" s="11" t="n">
        <f aca="false">$E76*3</f>
        <v>6792</v>
      </c>
      <c r="J76" s="11" t="n">
        <f aca="false">$E76*4</f>
        <v>9056</v>
      </c>
      <c r="K76" s="11" t="n">
        <f aca="false">$E76*5</f>
        <v>11320</v>
      </c>
      <c r="L76" s="11" t="n">
        <f aca="false">$E76*6</f>
        <v>13584</v>
      </c>
      <c r="M76" s="11" t="n">
        <f aca="false">$E76*7</f>
        <v>15848</v>
      </c>
      <c r="N76" s="11" t="n">
        <f aca="false">$E76*8</f>
        <v>18112</v>
      </c>
      <c r="O76" s="11" t="n">
        <f aca="false">$E76*9</f>
        <v>20376</v>
      </c>
      <c r="P76" s="11" t="n">
        <f aca="false">$E76*10</f>
        <v>22640</v>
      </c>
      <c r="Q76" s="11" t="n">
        <f aca="false">$E76*11</f>
        <v>24904</v>
      </c>
      <c r="R76" s="11" t="n">
        <f aca="false">$E76*12</f>
        <v>27168</v>
      </c>
      <c r="S76" s="11" t="n">
        <f aca="false">$E76*13</f>
        <v>29432</v>
      </c>
      <c r="T76" s="11" t="n">
        <f aca="false">$E76*14</f>
        <v>31696</v>
      </c>
      <c r="U76" s="11" t="n">
        <f aca="false">$E76*15</f>
        <v>33960</v>
      </c>
      <c r="V76" s="11" t="n">
        <f aca="false">$E76*16</f>
        <v>36224</v>
      </c>
      <c r="W76" s="11" t="n">
        <f aca="false">$E76*17</f>
        <v>38488</v>
      </c>
      <c r="X76" s="11" t="n">
        <f aca="false">$E76*18</f>
        <v>40752</v>
      </c>
      <c r="Y76" s="11" t="n">
        <f aca="false">$E76*19</f>
        <v>43016</v>
      </c>
      <c r="Z76" s="11" t="n">
        <f aca="false">$E76*20</f>
        <v>45280</v>
      </c>
    </row>
    <row r="77" customFormat="false" ht="15" hidden="false" customHeight="false" outlineLevel="0" collapsed="false">
      <c r="A77" s="0" t="s">
        <v>266</v>
      </c>
      <c r="B77" s="0" t="s">
        <v>209</v>
      </c>
      <c r="C77" s="0" t="n">
        <v>4</v>
      </c>
      <c r="D77" s="0" t="n">
        <v>4.1</v>
      </c>
      <c r="E77" s="11" t="n">
        <v>5330</v>
      </c>
      <c r="F77" s="11" t="n">
        <v>1247</v>
      </c>
      <c r="G77" s="11" t="n">
        <f aca="false">$E77*1</f>
        <v>5330</v>
      </c>
      <c r="H77" s="11" t="n">
        <f aca="false">$E77*2</f>
        <v>10660</v>
      </c>
      <c r="I77" s="11" t="n">
        <f aca="false">$E77*3</f>
        <v>15990</v>
      </c>
      <c r="J77" s="11" t="n">
        <f aca="false">$E77*4</f>
        <v>21320</v>
      </c>
      <c r="K77" s="11" t="n">
        <f aca="false">$E77*5</f>
        <v>26650</v>
      </c>
      <c r="L77" s="11" t="n">
        <f aca="false">$E77*6</f>
        <v>31980</v>
      </c>
      <c r="M77" s="11" t="n">
        <f aca="false">$E77*7</f>
        <v>37310</v>
      </c>
      <c r="N77" s="11" t="n">
        <f aca="false">$E77*8</f>
        <v>42640</v>
      </c>
      <c r="O77" s="11" t="n">
        <f aca="false">$E77*9</f>
        <v>47970</v>
      </c>
      <c r="P77" s="11" t="n">
        <f aca="false">$E77*10</f>
        <v>53300</v>
      </c>
      <c r="Q77" s="11" t="n">
        <f aca="false">$E77*11</f>
        <v>58630</v>
      </c>
      <c r="R77" s="11" t="n">
        <f aca="false">$E77*12</f>
        <v>63960</v>
      </c>
      <c r="S77" s="11" t="n">
        <f aca="false">$E77*13</f>
        <v>69290</v>
      </c>
      <c r="T77" s="11" t="n">
        <f aca="false">$E77*14</f>
        <v>74620</v>
      </c>
      <c r="U77" s="11" t="n">
        <f aca="false">$E77*15</f>
        <v>79950</v>
      </c>
      <c r="V77" s="11" t="n">
        <f aca="false">$E77*16</f>
        <v>85280</v>
      </c>
      <c r="W77" s="11" t="n">
        <f aca="false">$E77*17</f>
        <v>90610</v>
      </c>
      <c r="X77" s="11" t="n">
        <f aca="false">$E77*18</f>
        <v>95940</v>
      </c>
      <c r="Y77" s="11" t="n">
        <f aca="false">$E77*19</f>
        <v>101270</v>
      </c>
      <c r="Z77" s="11" t="n">
        <f aca="false">$E77*20</f>
        <v>106600</v>
      </c>
    </row>
    <row r="78" customFormat="false" ht="15" hidden="false" customHeight="false" outlineLevel="0" collapsed="false">
      <c r="A78" s="0" t="s">
        <v>267</v>
      </c>
      <c r="B78" s="0" t="s">
        <v>228</v>
      </c>
      <c r="C78" s="0" t="n">
        <v>3</v>
      </c>
      <c r="D78" s="0" t="n">
        <v>4.2</v>
      </c>
      <c r="E78" s="11" t="n">
        <v>1692</v>
      </c>
      <c r="F78" s="11" t="n">
        <v>360</v>
      </c>
      <c r="G78" s="11" t="n">
        <f aca="false">$E78*1</f>
        <v>1692</v>
      </c>
      <c r="H78" s="11" t="n">
        <f aca="false">$E78*2</f>
        <v>3384</v>
      </c>
      <c r="I78" s="11" t="n">
        <f aca="false">$E78*3</f>
        <v>5076</v>
      </c>
      <c r="J78" s="11" t="n">
        <f aca="false">$E78*4</f>
        <v>6768</v>
      </c>
      <c r="K78" s="11" t="n">
        <f aca="false">$E78*5</f>
        <v>8460</v>
      </c>
      <c r="L78" s="11" t="n">
        <f aca="false">$E78*6</f>
        <v>10152</v>
      </c>
      <c r="M78" s="11" t="n">
        <f aca="false">$E78*7</f>
        <v>11844</v>
      </c>
      <c r="N78" s="11" t="n">
        <f aca="false">$E78*8</f>
        <v>13536</v>
      </c>
      <c r="O78" s="11" t="n">
        <f aca="false">$E78*9</f>
        <v>15228</v>
      </c>
      <c r="P78" s="11" t="n">
        <f aca="false">$E78*10</f>
        <v>16920</v>
      </c>
      <c r="Q78" s="11" t="n">
        <f aca="false">$E78*11</f>
        <v>18612</v>
      </c>
      <c r="R78" s="11" t="n">
        <f aca="false">$E78*12</f>
        <v>20304</v>
      </c>
      <c r="S78" s="11" t="n">
        <f aca="false">$E78*13</f>
        <v>21996</v>
      </c>
      <c r="T78" s="11" t="n">
        <f aca="false">$E78*14</f>
        <v>23688</v>
      </c>
      <c r="U78" s="11" t="n">
        <f aca="false">$E78*15</f>
        <v>25380</v>
      </c>
      <c r="V78" s="11" t="n">
        <f aca="false">$E78*16</f>
        <v>27072</v>
      </c>
      <c r="W78" s="11" t="n">
        <f aca="false">$E78*17</f>
        <v>28764</v>
      </c>
      <c r="X78" s="11" t="n">
        <f aca="false">$E78*18</f>
        <v>30456</v>
      </c>
      <c r="Y78" s="11" t="n">
        <f aca="false">$E78*19</f>
        <v>32148</v>
      </c>
      <c r="Z78" s="11" t="n">
        <f aca="false">$E78*20</f>
        <v>33840</v>
      </c>
    </row>
    <row r="79" customFormat="false" ht="28.35" hidden="false" customHeight="false" outlineLevel="0" collapsed="false">
      <c r="A79" s="12" t="s">
        <v>268</v>
      </c>
      <c r="B79" s="0" t="s">
        <v>28</v>
      </c>
      <c r="D79" s="0" t="n">
        <v>3.8</v>
      </c>
      <c r="E79" s="11" t="n">
        <v>2759</v>
      </c>
      <c r="F79" s="11" t="n">
        <v>755</v>
      </c>
      <c r="G79" s="11" t="n">
        <f aca="false">$E79*1</f>
        <v>2759</v>
      </c>
      <c r="H79" s="11" t="n">
        <f aca="false">$E79*2</f>
        <v>5518</v>
      </c>
      <c r="I79" s="11" t="n">
        <f aca="false">$E79*3</f>
        <v>8277</v>
      </c>
      <c r="J79" s="11" t="n">
        <f aca="false">$E79*4</f>
        <v>11036</v>
      </c>
      <c r="K79" s="11" t="n">
        <f aca="false">$E79*5</f>
        <v>13795</v>
      </c>
      <c r="L79" s="11" t="n">
        <f aca="false">$E79*6</f>
        <v>16554</v>
      </c>
      <c r="M79" s="11" t="n">
        <f aca="false">$E79*7</f>
        <v>19313</v>
      </c>
      <c r="N79" s="11" t="n">
        <f aca="false">$E79*8</f>
        <v>22072</v>
      </c>
      <c r="O79" s="11" t="n">
        <f aca="false">$E79*9</f>
        <v>24831</v>
      </c>
      <c r="P79" s="11" t="n">
        <f aca="false">$E79*10</f>
        <v>27590</v>
      </c>
      <c r="Q79" s="11" t="n">
        <f aca="false">$E79*11</f>
        <v>30349</v>
      </c>
      <c r="R79" s="11" t="n">
        <f aca="false">$E79*12</f>
        <v>33108</v>
      </c>
      <c r="S79" s="11" t="n">
        <f aca="false">$E79*13</f>
        <v>35867</v>
      </c>
      <c r="T79" s="11" t="n">
        <f aca="false">$E79*14</f>
        <v>38626</v>
      </c>
      <c r="U79" s="11" t="n">
        <f aca="false">$E79*15</f>
        <v>41385</v>
      </c>
      <c r="V79" s="11" t="n">
        <f aca="false">$E79*16</f>
        <v>44144</v>
      </c>
      <c r="W79" s="11" t="n">
        <f aca="false">$E79*17</f>
        <v>46903</v>
      </c>
      <c r="X79" s="11" t="n">
        <f aca="false">$E79*18</f>
        <v>49662</v>
      </c>
      <c r="Y79" s="11" t="n">
        <f aca="false">$E79*19</f>
        <v>52421</v>
      </c>
      <c r="Z79" s="11" t="n">
        <f aca="false">$E79*20</f>
        <v>55180</v>
      </c>
    </row>
    <row r="80" customFormat="false" ht="15" hidden="false" customHeight="false" outlineLevel="0" collapsed="false">
      <c r="A80" s="0" t="s">
        <v>269</v>
      </c>
      <c r="B80" s="0" t="s">
        <v>270</v>
      </c>
      <c r="C80" s="0" t="n">
        <v>5</v>
      </c>
      <c r="D80" s="0" t="n">
        <v>4.5</v>
      </c>
      <c r="E80" s="11" t="n">
        <v>13500</v>
      </c>
      <c r="F80" s="11"/>
      <c r="G80" s="11" t="n">
        <f aca="false">$E80*1</f>
        <v>13500</v>
      </c>
      <c r="H80" s="11" t="n">
        <f aca="false">$E80*2</f>
        <v>27000</v>
      </c>
      <c r="I80" s="11" t="n">
        <f aca="false">$E80*3</f>
        <v>40500</v>
      </c>
      <c r="J80" s="11" t="n">
        <f aca="false">$E80*4</f>
        <v>54000</v>
      </c>
      <c r="K80" s="11" t="n">
        <f aca="false">$E80*5</f>
        <v>67500</v>
      </c>
      <c r="L80" s="11" t="n">
        <f aca="false">$E80*6</f>
        <v>81000</v>
      </c>
      <c r="M80" s="11" t="n">
        <f aca="false">$E80*7</f>
        <v>94500</v>
      </c>
      <c r="N80" s="11" t="n">
        <f aca="false">$E80*8</f>
        <v>108000</v>
      </c>
      <c r="O80" s="11" t="n">
        <f aca="false">$E80*9</f>
        <v>121500</v>
      </c>
      <c r="P80" s="11" t="n">
        <f aca="false">$E80*10</f>
        <v>135000</v>
      </c>
      <c r="Q80" s="11" t="n">
        <f aca="false">$E80*11</f>
        <v>148500</v>
      </c>
      <c r="R80" s="11" t="n">
        <f aca="false">$E80*12</f>
        <v>162000</v>
      </c>
      <c r="S80" s="11" t="n">
        <f aca="false">$E80*13</f>
        <v>175500</v>
      </c>
      <c r="T80" s="11" t="n">
        <f aca="false">$E80*14</f>
        <v>189000</v>
      </c>
      <c r="U80" s="11" t="n">
        <f aca="false">$E80*15</f>
        <v>202500</v>
      </c>
      <c r="V80" s="11" t="n">
        <f aca="false">$E80*16</f>
        <v>216000</v>
      </c>
      <c r="W80" s="11" t="n">
        <f aca="false">$E80*17</f>
        <v>229500</v>
      </c>
      <c r="X80" s="11" t="n">
        <f aca="false">$E80*18</f>
        <v>243000</v>
      </c>
      <c r="Y80" s="11" t="n">
        <f aca="false">$E80*19</f>
        <v>256500</v>
      </c>
      <c r="Z80" s="11" t="n">
        <f aca="false">$E80*20</f>
        <v>270000</v>
      </c>
    </row>
    <row r="81" customFormat="false" ht="15" hidden="false" customHeight="false" outlineLevel="0" collapsed="false">
      <c r="A81" s="0" t="s">
        <v>271</v>
      </c>
      <c r="B81" s="0" t="s">
        <v>272</v>
      </c>
      <c r="C81" s="0" t="n">
        <v>5</v>
      </c>
      <c r="D81" s="0" t="n">
        <v>4.6</v>
      </c>
      <c r="E81" s="11" t="n">
        <v>11000</v>
      </c>
      <c r="F81" s="11"/>
      <c r="G81" s="11" t="n">
        <f aca="false">$E81*1</f>
        <v>11000</v>
      </c>
      <c r="H81" s="11" t="n">
        <f aca="false">$E81*2</f>
        <v>22000</v>
      </c>
      <c r="I81" s="11" t="n">
        <f aca="false">$E81*3</f>
        <v>33000</v>
      </c>
      <c r="J81" s="11" t="n">
        <f aca="false">$E81*4</f>
        <v>44000</v>
      </c>
      <c r="K81" s="11" t="n">
        <f aca="false">$E81*5</f>
        <v>55000</v>
      </c>
      <c r="L81" s="11" t="n">
        <f aca="false">$E81*6</f>
        <v>66000</v>
      </c>
      <c r="M81" s="11" t="n">
        <f aca="false">$E81*7</f>
        <v>77000</v>
      </c>
      <c r="N81" s="11" t="n">
        <f aca="false">$E81*8</f>
        <v>88000</v>
      </c>
      <c r="O81" s="11" t="n">
        <f aca="false">$E81*9</f>
        <v>99000</v>
      </c>
      <c r="P81" s="11" t="n">
        <f aca="false">$E81*10</f>
        <v>110000</v>
      </c>
      <c r="Q81" s="11" t="n">
        <f aca="false">$E81*11</f>
        <v>121000</v>
      </c>
      <c r="R81" s="11" t="n">
        <f aca="false">$E81*12</f>
        <v>132000</v>
      </c>
      <c r="S81" s="11" t="n">
        <f aca="false">$E81*13</f>
        <v>143000</v>
      </c>
      <c r="T81" s="11" t="n">
        <f aca="false">$E81*14</f>
        <v>154000</v>
      </c>
      <c r="U81" s="11" t="n">
        <f aca="false">$E81*15</f>
        <v>165000</v>
      </c>
      <c r="V81" s="11" t="n">
        <f aca="false">$E81*16</f>
        <v>176000</v>
      </c>
      <c r="W81" s="11" t="n">
        <f aca="false">$E81*17</f>
        <v>187000</v>
      </c>
      <c r="X81" s="11" t="n">
        <f aca="false">$E81*18</f>
        <v>198000</v>
      </c>
      <c r="Y81" s="11" t="n">
        <f aca="false">$E81*19</f>
        <v>209000</v>
      </c>
      <c r="Z81" s="11" t="n">
        <f aca="false">$E81*20</f>
        <v>220000</v>
      </c>
    </row>
    <row r="82" customFormat="false" ht="15" hidden="false" customHeight="false" outlineLevel="0" collapsed="false">
      <c r="A82" s="0" t="s">
        <v>273</v>
      </c>
      <c r="B82" s="0" t="s">
        <v>91</v>
      </c>
      <c r="C82" s="0" t="n">
        <v>4</v>
      </c>
      <c r="D82" s="0" t="n">
        <v>4.1</v>
      </c>
      <c r="E82" s="11" t="n">
        <v>3999</v>
      </c>
      <c r="F82" s="11"/>
      <c r="G82" s="11" t="n">
        <f aca="false">$E82*1</f>
        <v>3999</v>
      </c>
      <c r="H82" s="11" t="n">
        <f aca="false">$E82*2</f>
        <v>7998</v>
      </c>
      <c r="I82" s="11" t="n">
        <f aca="false">$E82*3</f>
        <v>11997</v>
      </c>
      <c r="J82" s="11" t="n">
        <f aca="false">$E82*4</f>
        <v>15996</v>
      </c>
      <c r="K82" s="11" t="n">
        <f aca="false">$E82*5</f>
        <v>19995</v>
      </c>
      <c r="L82" s="11" t="n">
        <f aca="false">$E82*6</f>
        <v>23994</v>
      </c>
      <c r="M82" s="11" t="n">
        <f aca="false">$E82*7</f>
        <v>27993</v>
      </c>
      <c r="N82" s="11" t="n">
        <f aca="false">$E82*8</f>
        <v>31992</v>
      </c>
      <c r="O82" s="11" t="n">
        <f aca="false">$E82*9</f>
        <v>35991</v>
      </c>
      <c r="P82" s="11" t="n">
        <f aca="false">$E82*10</f>
        <v>39990</v>
      </c>
      <c r="Q82" s="11" t="n">
        <f aca="false">$E82*11</f>
        <v>43989</v>
      </c>
      <c r="R82" s="11" t="n">
        <f aca="false">$E82*12</f>
        <v>47988</v>
      </c>
      <c r="S82" s="11" t="n">
        <f aca="false">$E82*13</f>
        <v>51987</v>
      </c>
      <c r="T82" s="11" t="n">
        <f aca="false">$E82*14</f>
        <v>55986</v>
      </c>
      <c r="U82" s="11" t="n">
        <f aca="false">$E82*15</f>
        <v>59985</v>
      </c>
      <c r="V82" s="11" t="n">
        <f aca="false">$E82*16</f>
        <v>63984</v>
      </c>
      <c r="W82" s="11" t="n">
        <f aca="false">$E82*17</f>
        <v>67983</v>
      </c>
      <c r="X82" s="11" t="n">
        <f aca="false">$E82*18</f>
        <v>71982</v>
      </c>
      <c r="Y82" s="11" t="n">
        <f aca="false">$E82*19</f>
        <v>75981</v>
      </c>
      <c r="Z82" s="11" t="n">
        <f aca="false">$E82*20</f>
        <v>79980</v>
      </c>
    </row>
    <row r="83" customFormat="false" ht="15" hidden="false" customHeight="false" outlineLevel="0" collapsed="false">
      <c r="A83" s="0" t="s">
        <v>274</v>
      </c>
      <c r="B83" s="0" t="s">
        <v>59</v>
      </c>
      <c r="C83" s="0" t="n">
        <v>4</v>
      </c>
      <c r="D83" s="0" t="n">
        <v>3.9</v>
      </c>
      <c r="E83" s="11" t="n">
        <v>5400</v>
      </c>
      <c r="F83" s="11"/>
      <c r="G83" s="11" t="n">
        <f aca="false">$E83*1</f>
        <v>5400</v>
      </c>
      <c r="H83" s="11" t="n">
        <f aca="false">$E83*2</f>
        <v>10800</v>
      </c>
      <c r="I83" s="11" t="n">
        <f aca="false">$E83*3</f>
        <v>16200</v>
      </c>
      <c r="J83" s="11" t="n">
        <f aca="false">$E83*4</f>
        <v>21600</v>
      </c>
      <c r="K83" s="11" t="n">
        <f aca="false">$E83*5</f>
        <v>27000</v>
      </c>
      <c r="L83" s="11" t="n">
        <f aca="false">$E83*6</f>
        <v>32400</v>
      </c>
      <c r="M83" s="11" t="n">
        <f aca="false">$E83*7</f>
        <v>37800</v>
      </c>
      <c r="N83" s="11" t="n">
        <f aca="false">$E83*8</f>
        <v>43200</v>
      </c>
      <c r="O83" s="11" t="n">
        <f aca="false">$E83*9</f>
        <v>48600</v>
      </c>
      <c r="P83" s="11" t="n">
        <f aca="false">$E83*10</f>
        <v>54000</v>
      </c>
      <c r="Q83" s="11" t="n">
        <f aca="false">$E83*11</f>
        <v>59400</v>
      </c>
      <c r="R83" s="11" t="n">
        <f aca="false">$E83*12</f>
        <v>64800</v>
      </c>
      <c r="S83" s="11" t="n">
        <f aca="false">$E83*13</f>
        <v>70200</v>
      </c>
      <c r="T83" s="11" t="n">
        <f aca="false">$E83*14</f>
        <v>75600</v>
      </c>
      <c r="U83" s="11" t="n">
        <f aca="false">$E83*15</f>
        <v>81000</v>
      </c>
      <c r="V83" s="11" t="n">
        <f aca="false">$E83*16</f>
        <v>86400</v>
      </c>
      <c r="W83" s="11" t="n">
        <f aca="false">$E83*17</f>
        <v>91800</v>
      </c>
      <c r="X83" s="11" t="n">
        <f aca="false">$E83*18</f>
        <v>97200</v>
      </c>
      <c r="Y83" s="11" t="n">
        <f aca="false">$E83*19</f>
        <v>102600</v>
      </c>
      <c r="Z83" s="11" t="n">
        <f aca="false">$E83*20</f>
        <v>108000</v>
      </c>
    </row>
    <row r="84" customFormat="false" ht="15" hidden="false" customHeight="false" outlineLevel="0" collapsed="false">
      <c r="A84" s="0" t="s">
        <v>275</v>
      </c>
      <c r="B84" s="0" t="s">
        <v>91</v>
      </c>
      <c r="C84" s="0" t="n">
        <v>5</v>
      </c>
      <c r="D84" s="0" t="n">
        <v>4.3</v>
      </c>
      <c r="E84" s="11" t="n">
        <v>6501</v>
      </c>
      <c r="F84" s="11" t="n">
        <v>780</v>
      </c>
      <c r="G84" s="11" t="n">
        <f aca="false">$E84*1</f>
        <v>6501</v>
      </c>
      <c r="H84" s="11" t="n">
        <f aca="false">$E84*2</f>
        <v>13002</v>
      </c>
      <c r="I84" s="11" t="n">
        <f aca="false">$E84*3</f>
        <v>19503</v>
      </c>
      <c r="J84" s="11" t="n">
        <f aca="false">$E84*4</f>
        <v>26004</v>
      </c>
      <c r="K84" s="11" t="n">
        <f aca="false">$E84*5</f>
        <v>32505</v>
      </c>
      <c r="L84" s="11" t="n">
        <f aca="false">$E84*6</f>
        <v>39006</v>
      </c>
      <c r="M84" s="11" t="n">
        <f aca="false">$E84*7</f>
        <v>45507</v>
      </c>
      <c r="N84" s="11" t="n">
        <f aca="false">$E84*8</f>
        <v>52008</v>
      </c>
      <c r="O84" s="11" t="n">
        <f aca="false">$E84*9</f>
        <v>58509</v>
      </c>
      <c r="P84" s="11" t="n">
        <f aca="false">$E84*10</f>
        <v>65010</v>
      </c>
      <c r="Q84" s="11" t="n">
        <f aca="false">$E84*11</f>
        <v>71511</v>
      </c>
      <c r="R84" s="11" t="n">
        <f aca="false">$E84*12</f>
        <v>78012</v>
      </c>
      <c r="S84" s="11" t="n">
        <f aca="false">$E84*13</f>
        <v>84513</v>
      </c>
      <c r="T84" s="11" t="n">
        <f aca="false">$E84*14</f>
        <v>91014</v>
      </c>
      <c r="U84" s="11" t="n">
        <f aca="false">$E84*15</f>
        <v>97515</v>
      </c>
      <c r="V84" s="11" t="n">
        <f aca="false">$E84*16</f>
        <v>104016</v>
      </c>
      <c r="W84" s="11" t="n">
        <f aca="false">$E84*17</f>
        <v>110517</v>
      </c>
      <c r="X84" s="11" t="n">
        <f aca="false">$E84*18</f>
        <v>117018</v>
      </c>
      <c r="Y84" s="11" t="n">
        <f aca="false">$E84*19</f>
        <v>123519</v>
      </c>
      <c r="Z84" s="11" t="n">
        <f aca="false">$E84*20</f>
        <v>130020</v>
      </c>
    </row>
    <row r="85" customFormat="false" ht="15" hidden="false" customHeight="false" outlineLevel="0" collapsed="false">
      <c r="A85" s="0" t="s">
        <v>276</v>
      </c>
      <c r="B85" s="0" t="s">
        <v>277</v>
      </c>
      <c r="C85" s="0" t="n">
        <v>3</v>
      </c>
      <c r="D85" s="0" t="n">
        <v>4.1</v>
      </c>
      <c r="E85" s="11" t="n">
        <v>2820</v>
      </c>
      <c r="F85" s="11" t="n">
        <v>660</v>
      </c>
      <c r="G85" s="11" t="n">
        <f aca="false">$E85*1</f>
        <v>2820</v>
      </c>
      <c r="H85" s="11" t="n">
        <f aca="false">$E85*2</f>
        <v>5640</v>
      </c>
      <c r="I85" s="11" t="n">
        <f aca="false">$E85*3</f>
        <v>8460</v>
      </c>
      <c r="J85" s="11" t="n">
        <f aca="false">$E85*4</f>
        <v>11280</v>
      </c>
      <c r="K85" s="11" t="n">
        <f aca="false">$E85*5</f>
        <v>14100</v>
      </c>
      <c r="L85" s="11" t="n">
        <f aca="false">$E85*6</f>
        <v>16920</v>
      </c>
      <c r="M85" s="11" t="n">
        <f aca="false">$E85*7</f>
        <v>19740</v>
      </c>
      <c r="N85" s="11" t="n">
        <f aca="false">$E85*8</f>
        <v>22560</v>
      </c>
      <c r="O85" s="11" t="n">
        <f aca="false">$E85*9</f>
        <v>25380</v>
      </c>
      <c r="P85" s="11" t="n">
        <f aca="false">$E85*10</f>
        <v>28200</v>
      </c>
      <c r="Q85" s="11" t="n">
        <f aca="false">$E85*11</f>
        <v>31020</v>
      </c>
      <c r="R85" s="11" t="n">
        <f aca="false">$E85*12</f>
        <v>33840</v>
      </c>
      <c r="S85" s="11" t="n">
        <f aca="false">$E85*13</f>
        <v>36660</v>
      </c>
      <c r="T85" s="11" t="n">
        <f aca="false">$E85*14</f>
        <v>39480</v>
      </c>
      <c r="U85" s="11" t="n">
        <f aca="false">$E85*15</f>
        <v>42300</v>
      </c>
      <c r="V85" s="11" t="n">
        <f aca="false">$E85*16</f>
        <v>45120</v>
      </c>
      <c r="W85" s="11" t="n">
        <f aca="false">$E85*17</f>
        <v>47940</v>
      </c>
      <c r="X85" s="11" t="n">
        <f aca="false">$E85*18</f>
        <v>50760</v>
      </c>
      <c r="Y85" s="11" t="n">
        <f aca="false">$E85*19</f>
        <v>53580</v>
      </c>
      <c r="Z85" s="11" t="n">
        <f aca="false">$E85*20</f>
        <v>56400</v>
      </c>
    </row>
    <row r="86" customFormat="false" ht="15" hidden="false" customHeight="false" outlineLevel="0" collapsed="false">
      <c r="A86" s="0" t="s">
        <v>278</v>
      </c>
      <c r="B86" s="0" t="s">
        <v>279</v>
      </c>
      <c r="C86" s="0" t="n">
        <v>4</v>
      </c>
      <c r="D86" s="0" t="n">
        <v>3.5</v>
      </c>
      <c r="E86" s="11" t="n">
        <v>2848</v>
      </c>
      <c r="F86" s="11" t="n">
        <v>342</v>
      </c>
      <c r="G86" s="11" t="n">
        <f aca="false">$E86*1</f>
        <v>2848</v>
      </c>
      <c r="H86" s="11" t="n">
        <f aca="false">$E86*2</f>
        <v>5696</v>
      </c>
      <c r="I86" s="11" t="n">
        <f aca="false">$E86*3</f>
        <v>8544</v>
      </c>
      <c r="J86" s="11" t="n">
        <f aca="false">$E86*4</f>
        <v>11392</v>
      </c>
      <c r="K86" s="11" t="n">
        <f aca="false">$E86*5</f>
        <v>14240</v>
      </c>
      <c r="L86" s="11" t="n">
        <f aca="false">$E86*6</f>
        <v>17088</v>
      </c>
      <c r="M86" s="11" t="n">
        <f aca="false">$E86*7</f>
        <v>19936</v>
      </c>
      <c r="N86" s="11" t="n">
        <f aca="false">$E86*8</f>
        <v>22784</v>
      </c>
      <c r="O86" s="11" t="n">
        <f aca="false">$E86*9</f>
        <v>25632</v>
      </c>
      <c r="P86" s="11" t="n">
        <f aca="false">$E86*10</f>
        <v>28480</v>
      </c>
      <c r="Q86" s="11" t="n">
        <f aca="false">$E86*11</f>
        <v>31328</v>
      </c>
      <c r="R86" s="11" t="n">
        <f aca="false">$E86*12</f>
        <v>34176</v>
      </c>
      <c r="S86" s="11" t="n">
        <f aca="false">$E86*13</f>
        <v>37024</v>
      </c>
      <c r="T86" s="11" t="n">
        <f aca="false">$E86*14</f>
        <v>39872</v>
      </c>
      <c r="U86" s="11" t="n">
        <f aca="false">$E86*15</f>
        <v>42720</v>
      </c>
      <c r="V86" s="11" t="n">
        <f aca="false">$E86*16</f>
        <v>45568</v>
      </c>
      <c r="W86" s="11" t="n">
        <f aca="false">$E86*17</f>
        <v>48416</v>
      </c>
      <c r="X86" s="11" t="n">
        <f aca="false">$E86*18</f>
        <v>51264</v>
      </c>
      <c r="Y86" s="11" t="n">
        <f aca="false">$E86*19</f>
        <v>54112</v>
      </c>
      <c r="Z86" s="11" t="n">
        <f aca="false">$E86*20</f>
        <v>56960</v>
      </c>
    </row>
    <row r="87" customFormat="false" ht="15" hidden="false" customHeight="false" outlineLevel="0" collapsed="false">
      <c r="A87" s="0" t="s">
        <v>280</v>
      </c>
      <c r="B87" s="0" t="s">
        <v>281</v>
      </c>
      <c r="C87" s="0" t="n">
        <v>3</v>
      </c>
      <c r="D87" s="0" t="n">
        <v>3.6</v>
      </c>
      <c r="E87" s="11" t="n">
        <v>2300</v>
      </c>
      <c r="F87" s="11" t="n">
        <v>465</v>
      </c>
      <c r="G87" s="11" t="n">
        <f aca="false">$E87*1</f>
        <v>2300</v>
      </c>
      <c r="H87" s="11" t="n">
        <f aca="false">$E87*2</f>
        <v>4600</v>
      </c>
      <c r="I87" s="11" t="n">
        <f aca="false">$E87*3</f>
        <v>6900</v>
      </c>
      <c r="J87" s="11" t="n">
        <f aca="false">$E87*4</f>
        <v>9200</v>
      </c>
      <c r="K87" s="11" t="n">
        <f aca="false">$E87*5</f>
        <v>11500</v>
      </c>
      <c r="L87" s="11" t="n">
        <f aca="false">$E87*6</f>
        <v>13800</v>
      </c>
      <c r="M87" s="11" t="n">
        <f aca="false">$E87*7</f>
        <v>16100</v>
      </c>
      <c r="N87" s="11" t="n">
        <f aca="false">$E87*8</f>
        <v>18400</v>
      </c>
      <c r="O87" s="11" t="n">
        <f aca="false">$E87*9</f>
        <v>20700</v>
      </c>
      <c r="P87" s="11" t="n">
        <f aca="false">$E87*10</f>
        <v>23000</v>
      </c>
      <c r="Q87" s="11" t="n">
        <f aca="false">$E87*11</f>
        <v>25300</v>
      </c>
      <c r="R87" s="11" t="n">
        <f aca="false">$E87*12</f>
        <v>27600</v>
      </c>
      <c r="S87" s="11" t="n">
        <f aca="false">$E87*13</f>
        <v>29900</v>
      </c>
      <c r="T87" s="11" t="n">
        <f aca="false">$E87*14</f>
        <v>32200</v>
      </c>
      <c r="U87" s="11" t="n">
        <f aca="false">$E87*15</f>
        <v>34500</v>
      </c>
      <c r="V87" s="11" t="n">
        <f aca="false">$E87*16</f>
        <v>36800</v>
      </c>
      <c r="W87" s="11" t="n">
        <f aca="false">$E87*17</f>
        <v>39100</v>
      </c>
      <c r="X87" s="11" t="n">
        <f aca="false">$E87*18</f>
        <v>41400</v>
      </c>
      <c r="Y87" s="11" t="n">
        <f aca="false">$E87*19</f>
        <v>43700</v>
      </c>
      <c r="Z87" s="11" t="n">
        <f aca="false">$E87*20</f>
        <v>46000</v>
      </c>
    </row>
    <row r="88" customFormat="false" ht="15" hidden="false" customHeight="false" outlineLevel="0" collapsed="false">
      <c r="A88" s="0" t="s">
        <v>282</v>
      </c>
      <c r="B88" s="0" t="s">
        <v>281</v>
      </c>
      <c r="C88" s="0" t="n">
        <v>5</v>
      </c>
      <c r="D88" s="0" t="n">
        <v>4.1</v>
      </c>
      <c r="E88" s="11" t="n">
        <v>6768</v>
      </c>
      <c r="F88" s="11" t="n">
        <v>1368</v>
      </c>
      <c r="G88" s="11" t="n">
        <f aca="false">$E88*1</f>
        <v>6768</v>
      </c>
      <c r="H88" s="11" t="n">
        <f aca="false">$E88*2</f>
        <v>13536</v>
      </c>
      <c r="I88" s="11" t="n">
        <f aca="false">$E88*3</f>
        <v>20304</v>
      </c>
      <c r="J88" s="11" t="n">
        <f aca="false">$E88*4</f>
        <v>27072</v>
      </c>
      <c r="K88" s="11" t="n">
        <f aca="false">$E88*5</f>
        <v>33840</v>
      </c>
      <c r="L88" s="11" t="n">
        <f aca="false">$E88*6</f>
        <v>40608</v>
      </c>
      <c r="M88" s="11" t="n">
        <f aca="false">$E88*7</f>
        <v>47376</v>
      </c>
      <c r="N88" s="11" t="n">
        <f aca="false">$E88*8</f>
        <v>54144</v>
      </c>
      <c r="O88" s="11" t="n">
        <f aca="false">$E88*9</f>
        <v>60912</v>
      </c>
      <c r="P88" s="11" t="n">
        <f aca="false">$E88*10</f>
        <v>67680</v>
      </c>
      <c r="Q88" s="11" t="n">
        <f aca="false">$E88*11</f>
        <v>74448</v>
      </c>
      <c r="R88" s="11" t="n">
        <f aca="false">$E88*12</f>
        <v>81216</v>
      </c>
      <c r="S88" s="11" t="n">
        <f aca="false">$E88*13</f>
        <v>87984</v>
      </c>
      <c r="T88" s="11" t="n">
        <f aca="false">$E88*14</f>
        <v>94752</v>
      </c>
      <c r="U88" s="11" t="n">
        <f aca="false">$E88*15</f>
        <v>101520</v>
      </c>
      <c r="V88" s="11" t="n">
        <f aca="false">$E88*16</f>
        <v>108288</v>
      </c>
      <c r="W88" s="11" t="n">
        <f aca="false">$E88*17</f>
        <v>115056</v>
      </c>
      <c r="X88" s="11" t="n">
        <f aca="false">$E88*18</f>
        <v>121824</v>
      </c>
      <c r="Y88" s="11" t="n">
        <f aca="false">$E88*19</f>
        <v>128592</v>
      </c>
      <c r="Z88" s="11" t="n">
        <f aca="false">$E88*20</f>
        <v>135360</v>
      </c>
    </row>
    <row r="89" customFormat="false" ht="15" hidden="false" customHeight="false" outlineLevel="0" collapsed="false">
      <c r="A89" s="0" t="s">
        <v>283</v>
      </c>
      <c r="B89" s="0" t="s">
        <v>182</v>
      </c>
      <c r="C89" s="0" t="n">
        <v>3</v>
      </c>
      <c r="D89" s="0" t="n">
        <v>4.3</v>
      </c>
      <c r="E89" s="11" t="n">
        <v>2799</v>
      </c>
      <c r="F89" s="11"/>
      <c r="G89" s="11" t="n">
        <f aca="false">$E89*1</f>
        <v>2799</v>
      </c>
      <c r="H89" s="11" t="n">
        <f aca="false">$E89*2</f>
        <v>5598</v>
      </c>
      <c r="I89" s="11" t="n">
        <f aca="false">$E89*3</f>
        <v>8397</v>
      </c>
      <c r="J89" s="11" t="n">
        <f aca="false">$E89*4</f>
        <v>11196</v>
      </c>
      <c r="K89" s="11" t="n">
        <f aca="false">$E89*5</f>
        <v>13995</v>
      </c>
      <c r="L89" s="11" t="n">
        <f aca="false">$E89*6</f>
        <v>16794</v>
      </c>
      <c r="M89" s="11" t="n">
        <f aca="false">$E89*7</f>
        <v>19593</v>
      </c>
      <c r="N89" s="11" t="n">
        <f aca="false">$E89*8</f>
        <v>22392</v>
      </c>
      <c r="O89" s="11" t="n">
        <f aca="false">$E89*9</f>
        <v>25191</v>
      </c>
      <c r="P89" s="11" t="n">
        <f aca="false">$E89*10</f>
        <v>27990</v>
      </c>
      <c r="Q89" s="11" t="n">
        <f aca="false">$E89*11</f>
        <v>30789</v>
      </c>
      <c r="R89" s="11" t="n">
        <f aca="false">$E89*12</f>
        <v>33588</v>
      </c>
      <c r="S89" s="11" t="n">
        <f aca="false">$E89*13</f>
        <v>36387</v>
      </c>
      <c r="T89" s="11" t="n">
        <f aca="false">$E89*14</f>
        <v>39186</v>
      </c>
      <c r="U89" s="11" t="n">
        <f aca="false">$E89*15</f>
        <v>41985</v>
      </c>
      <c r="V89" s="11" t="n">
        <f aca="false">$E89*16</f>
        <v>44784</v>
      </c>
      <c r="W89" s="11" t="n">
        <f aca="false">$E89*17</f>
        <v>47583</v>
      </c>
      <c r="X89" s="11" t="n">
        <f aca="false">$E89*18</f>
        <v>50382</v>
      </c>
      <c r="Y89" s="11" t="n">
        <f aca="false">$E89*19</f>
        <v>53181</v>
      </c>
      <c r="Z89" s="11" t="n">
        <f aca="false">$E89*20</f>
        <v>55980</v>
      </c>
    </row>
    <row r="90" customFormat="false" ht="15" hidden="false" customHeight="false" outlineLevel="0" collapsed="false">
      <c r="A90" s="0" t="s">
        <v>87</v>
      </c>
      <c r="B90" s="0" t="s">
        <v>281</v>
      </c>
      <c r="C90" s="0" t="n">
        <v>5</v>
      </c>
      <c r="D90" s="0" t="n">
        <v>4.5</v>
      </c>
      <c r="E90" s="11" t="n">
        <v>16500</v>
      </c>
      <c r="F90" s="11"/>
      <c r="G90" s="11" t="n">
        <f aca="false">$E90*1</f>
        <v>16500</v>
      </c>
      <c r="H90" s="11" t="n">
        <f aca="false">$E90*2</f>
        <v>33000</v>
      </c>
      <c r="I90" s="11" t="n">
        <f aca="false">$E90*3</f>
        <v>49500</v>
      </c>
      <c r="J90" s="11" t="n">
        <f aca="false">$E90*4</f>
        <v>66000</v>
      </c>
      <c r="K90" s="11" t="n">
        <f aca="false">$E90*5</f>
        <v>82500</v>
      </c>
      <c r="L90" s="11" t="n">
        <f aca="false">$E90*6</f>
        <v>99000</v>
      </c>
      <c r="M90" s="11" t="n">
        <f aca="false">$E90*7</f>
        <v>115500</v>
      </c>
      <c r="N90" s="11" t="n">
        <f aca="false">$E90*8</f>
        <v>132000</v>
      </c>
      <c r="O90" s="11" t="n">
        <f aca="false">$E90*9</f>
        <v>148500</v>
      </c>
      <c r="P90" s="11" t="n">
        <f aca="false">$E90*10</f>
        <v>165000</v>
      </c>
      <c r="Q90" s="11" t="n">
        <f aca="false">$E90*11</f>
        <v>181500</v>
      </c>
      <c r="R90" s="11" t="n">
        <f aca="false">$E90*12</f>
        <v>198000</v>
      </c>
      <c r="S90" s="11" t="n">
        <f aca="false">$E90*13</f>
        <v>214500</v>
      </c>
      <c r="T90" s="11" t="n">
        <f aca="false">$E90*14</f>
        <v>231000</v>
      </c>
      <c r="U90" s="11" t="n">
        <f aca="false">$E90*15</f>
        <v>247500</v>
      </c>
      <c r="V90" s="11" t="n">
        <f aca="false">$E90*16</f>
        <v>264000</v>
      </c>
      <c r="W90" s="11" t="n">
        <f aca="false">$E90*17</f>
        <v>280500</v>
      </c>
      <c r="X90" s="11" t="n">
        <f aca="false">$E90*18</f>
        <v>297000</v>
      </c>
      <c r="Y90" s="11" t="n">
        <f aca="false">$E90*19</f>
        <v>313500</v>
      </c>
      <c r="Z90" s="11" t="n">
        <f aca="false">$E90*20</f>
        <v>330000</v>
      </c>
    </row>
    <row r="91" customFormat="false" ht="15" hidden="false" customHeight="false" outlineLevel="0" collapsed="false">
      <c r="A91" s="0" t="s">
        <v>284</v>
      </c>
      <c r="B91" s="0" t="s">
        <v>203</v>
      </c>
      <c r="D91" s="0" t="n">
        <v>3.8</v>
      </c>
      <c r="E91" s="11" t="n">
        <v>2098</v>
      </c>
      <c r="F91" s="11" t="n">
        <v>554</v>
      </c>
      <c r="G91" s="11" t="n">
        <f aca="false">$E91*1</f>
        <v>2098</v>
      </c>
      <c r="H91" s="11" t="n">
        <f aca="false">$E91*2</f>
        <v>4196</v>
      </c>
      <c r="I91" s="11" t="n">
        <f aca="false">$E91*3</f>
        <v>6294</v>
      </c>
      <c r="J91" s="11" t="n">
        <f aca="false">$E91*4</f>
        <v>8392</v>
      </c>
      <c r="K91" s="11" t="n">
        <f aca="false">$E91*5</f>
        <v>10490</v>
      </c>
      <c r="L91" s="11" t="n">
        <f aca="false">$E91*6</f>
        <v>12588</v>
      </c>
      <c r="M91" s="11" t="n">
        <f aca="false">$E91*7</f>
        <v>14686</v>
      </c>
      <c r="N91" s="11" t="n">
        <f aca="false">$E91*8</f>
        <v>16784</v>
      </c>
      <c r="O91" s="11" t="n">
        <f aca="false">$E91*9</f>
        <v>18882</v>
      </c>
      <c r="P91" s="11" t="n">
        <f aca="false">$E91*10</f>
        <v>20980</v>
      </c>
      <c r="Q91" s="11" t="n">
        <f aca="false">$E91*11</f>
        <v>23078</v>
      </c>
      <c r="R91" s="11" t="n">
        <f aca="false">$E91*12</f>
        <v>25176</v>
      </c>
      <c r="S91" s="11" t="n">
        <f aca="false">$E91*13</f>
        <v>27274</v>
      </c>
      <c r="T91" s="11" t="n">
        <f aca="false">$E91*14</f>
        <v>29372</v>
      </c>
      <c r="U91" s="11" t="n">
        <f aca="false">$E91*15</f>
        <v>31470</v>
      </c>
      <c r="V91" s="11" t="n">
        <f aca="false">$E91*16</f>
        <v>33568</v>
      </c>
      <c r="W91" s="11" t="n">
        <f aca="false">$E91*17</f>
        <v>35666</v>
      </c>
      <c r="X91" s="11" t="n">
        <f aca="false">$E91*18</f>
        <v>37764</v>
      </c>
      <c r="Y91" s="11" t="n">
        <f aca="false">$E91*19</f>
        <v>39862</v>
      </c>
      <c r="Z91" s="11" t="n">
        <f aca="false">$E91*20</f>
        <v>41960</v>
      </c>
    </row>
    <row r="92" customFormat="false" ht="15" hidden="false" customHeight="false" outlineLevel="0" collapsed="false">
      <c r="A92" s="0" t="s">
        <v>285</v>
      </c>
      <c r="B92" s="0" t="s">
        <v>112</v>
      </c>
      <c r="C92" s="0" t="n">
        <v>3</v>
      </c>
      <c r="D92" s="0" t="n">
        <v>3.9</v>
      </c>
      <c r="E92" s="11" t="n">
        <v>5500</v>
      </c>
      <c r="F92" s="11"/>
      <c r="G92" s="11" t="n">
        <f aca="false">$E92*1</f>
        <v>5500</v>
      </c>
      <c r="H92" s="11" t="n">
        <f aca="false">$E92*2</f>
        <v>11000</v>
      </c>
      <c r="I92" s="11" t="n">
        <f aca="false">$E92*3</f>
        <v>16500</v>
      </c>
      <c r="J92" s="11" t="n">
        <f aca="false">$E92*4</f>
        <v>22000</v>
      </c>
      <c r="K92" s="11" t="n">
        <f aca="false">$E92*5</f>
        <v>27500</v>
      </c>
      <c r="L92" s="11" t="n">
        <f aca="false">$E92*6</f>
        <v>33000</v>
      </c>
      <c r="M92" s="11" t="n">
        <f aca="false">$E92*7</f>
        <v>38500</v>
      </c>
      <c r="N92" s="11" t="n">
        <f aca="false">$E92*8</f>
        <v>44000</v>
      </c>
      <c r="O92" s="11" t="n">
        <f aca="false">$E92*9</f>
        <v>49500</v>
      </c>
      <c r="P92" s="11" t="n">
        <f aca="false">$E92*10</f>
        <v>55000</v>
      </c>
      <c r="Q92" s="11" t="n">
        <f aca="false">$E92*11</f>
        <v>60500</v>
      </c>
      <c r="R92" s="11" t="n">
        <f aca="false">$E92*12</f>
        <v>66000</v>
      </c>
      <c r="S92" s="11" t="n">
        <f aca="false">$E92*13</f>
        <v>71500</v>
      </c>
      <c r="T92" s="11" t="n">
        <f aca="false">$E92*14</f>
        <v>77000</v>
      </c>
      <c r="U92" s="11" t="n">
        <f aca="false">$E92*15</f>
        <v>82500</v>
      </c>
      <c r="V92" s="11" t="n">
        <f aca="false">$E92*16</f>
        <v>88000</v>
      </c>
      <c r="W92" s="11" t="n">
        <f aca="false">$E92*17</f>
        <v>93500</v>
      </c>
      <c r="X92" s="11" t="n">
        <f aca="false">$E92*18</f>
        <v>99000</v>
      </c>
      <c r="Y92" s="11" t="n">
        <f aca="false">$E92*19</f>
        <v>104500</v>
      </c>
      <c r="Z92" s="11" t="n">
        <f aca="false">$E92*20</f>
        <v>110000</v>
      </c>
    </row>
    <row r="93" customFormat="false" ht="15" hidden="false" customHeight="false" outlineLevel="0" collapsed="false">
      <c r="A93" s="0" t="s">
        <v>286</v>
      </c>
      <c r="B93" s="0" t="s">
        <v>28</v>
      </c>
      <c r="C93" s="0" t="n">
        <v>3</v>
      </c>
      <c r="D93" s="0" t="n">
        <v>3.7</v>
      </c>
      <c r="E93" s="11" t="n">
        <v>2776</v>
      </c>
      <c r="F93" s="11" t="n">
        <v>752</v>
      </c>
      <c r="G93" s="11" t="n">
        <f aca="false">$E93*1</f>
        <v>2776</v>
      </c>
      <c r="H93" s="11" t="n">
        <f aca="false">$E93*2</f>
        <v>5552</v>
      </c>
      <c r="I93" s="11" t="n">
        <f aca="false">$E93*3</f>
        <v>8328</v>
      </c>
      <c r="J93" s="11" t="n">
        <f aca="false">$E93*4</f>
        <v>11104</v>
      </c>
      <c r="K93" s="11" t="n">
        <f aca="false">$E93*5</f>
        <v>13880</v>
      </c>
      <c r="L93" s="11" t="n">
        <f aca="false">$E93*6</f>
        <v>16656</v>
      </c>
      <c r="M93" s="11" t="n">
        <f aca="false">$E93*7</f>
        <v>19432</v>
      </c>
      <c r="N93" s="11" t="n">
        <f aca="false">$E93*8</f>
        <v>22208</v>
      </c>
      <c r="O93" s="11" t="n">
        <f aca="false">$E93*9</f>
        <v>24984</v>
      </c>
      <c r="P93" s="11" t="n">
        <f aca="false">$E93*10</f>
        <v>27760</v>
      </c>
      <c r="Q93" s="11" t="n">
        <f aca="false">$E93*11</f>
        <v>30536</v>
      </c>
      <c r="R93" s="11" t="n">
        <f aca="false">$E93*12</f>
        <v>33312</v>
      </c>
      <c r="S93" s="11" t="n">
        <f aca="false">$E93*13</f>
        <v>36088</v>
      </c>
      <c r="T93" s="11" t="n">
        <f aca="false">$E93*14</f>
        <v>38864</v>
      </c>
      <c r="U93" s="11" t="n">
        <f aca="false">$E93*15</f>
        <v>41640</v>
      </c>
      <c r="V93" s="11" t="n">
        <f aca="false">$E93*16</f>
        <v>44416</v>
      </c>
      <c r="W93" s="11" t="n">
        <f aca="false">$E93*17</f>
        <v>47192</v>
      </c>
      <c r="X93" s="11" t="n">
        <f aca="false">$E93*18</f>
        <v>49968</v>
      </c>
      <c r="Y93" s="11" t="n">
        <f aca="false">$E93*19</f>
        <v>52744</v>
      </c>
      <c r="Z93" s="11" t="n">
        <f aca="false">$E93*20</f>
        <v>55520</v>
      </c>
    </row>
    <row r="94" customFormat="false" ht="15" hidden="false" customHeight="false" outlineLevel="0" collapsed="false">
      <c r="A94" s="0" t="s">
        <v>287</v>
      </c>
      <c r="B94" s="0" t="s">
        <v>211</v>
      </c>
      <c r="C94" s="0" t="n">
        <v>3</v>
      </c>
      <c r="D94" s="0" t="n">
        <v>3.5</v>
      </c>
      <c r="E94" s="11" t="n">
        <v>2835</v>
      </c>
      <c r="F94" s="11" t="n">
        <v>693</v>
      </c>
      <c r="G94" s="11" t="n">
        <f aca="false">$E94*1</f>
        <v>2835</v>
      </c>
      <c r="H94" s="11" t="n">
        <f aca="false">$E94*2</f>
        <v>5670</v>
      </c>
      <c r="I94" s="11" t="n">
        <f aca="false">$E94*3</f>
        <v>8505</v>
      </c>
      <c r="J94" s="11" t="n">
        <f aca="false">$E94*4</f>
        <v>11340</v>
      </c>
      <c r="K94" s="11" t="n">
        <f aca="false">$E94*5</f>
        <v>14175</v>
      </c>
      <c r="L94" s="11" t="n">
        <f aca="false">$E94*6</f>
        <v>17010</v>
      </c>
      <c r="M94" s="11" t="n">
        <f aca="false">$E94*7</f>
        <v>19845</v>
      </c>
      <c r="N94" s="11" t="n">
        <f aca="false">$E94*8</f>
        <v>22680</v>
      </c>
      <c r="O94" s="11" t="n">
        <f aca="false">$E94*9</f>
        <v>25515</v>
      </c>
      <c r="P94" s="11" t="n">
        <f aca="false">$E94*10</f>
        <v>28350</v>
      </c>
      <c r="Q94" s="11" t="n">
        <f aca="false">$E94*11</f>
        <v>31185</v>
      </c>
      <c r="R94" s="11" t="n">
        <f aca="false">$E94*12</f>
        <v>34020</v>
      </c>
      <c r="S94" s="11" t="n">
        <f aca="false">$E94*13</f>
        <v>36855</v>
      </c>
      <c r="T94" s="11" t="n">
        <f aca="false">$E94*14</f>
        <v>39690</v>
      </c>
      <c r="U94" s="11" t="n">
        <f aca="false">$E94*15</f>
        <v>42525</v>
      </c>
      <c r="V94" s="11" t="n">
        <f aca="false">$E94*16</f>
        <v>45360</v>
      </c>
      <c r="W94" s="11" t="n">
        <f aca="false">$E94*17</f>
        <v>48195</v>
      </c>
      <c r="X94" s="11" t="n">
        <f aca="false">$E94*18</f>
        <v>51030</v>
      </c>
      <c r="Y94" s="11" t="n">
        <f aca="false">$E94*19</f>
        <v>53865</v>
      </c>
      <c r="Z94" s="11" t="n">
        <f aca="false">$E94*20</f>
        <v>56700</v>
      </c>
    </row>
    <row r="95" customFormat="false" ht="15" hidden="false" customHeight="false" outlineLevel="0" collapsed="false">
      <c r="A95" s="0" t="s">
        <v>288</v>
      </c>
      <c r="B95" s="0" t="s">
        <v>289</v>
      </c>
      <c r="D95" s="0" t="n">
        <v>4.3</v>
      </c>
      <c r="E95" s="11" t="n">
        <v>2345</v>
      </c>
      <c r="F95" s="11" t="n">
        <v>642</v>
      </c>
      <c r="G95" s="11" t="n">
        <f aca="false">$E95*1</f>
        <v>2345</v>
      </c>
      <c r="H95" s="11" t="n">
        <f aca="false">$E95*2</f>
        <v>4690</v>
      </c>
      <c r="I95" s="11" t="n">
        <f aca="false">$E95*3</f>
        <v>7035</v>
      </c>
      <c r="J95" s="11" t="n">
        <f aca="false">$E95*4</f>
        <v>9380</v>
      </c>
      <c r="K95" s="11" t="n">
        <f aca="false">$E95*5</f>
        <v>11725</v>
      </c>
      <c r="L95" s="11" t="n">
        <f aca="false">$E95*6</f>
        <v>14070</v>
      </c>
      <c r="M95" s="11" t="n">
        <f aca="false">$E95*7</f>
        <v>16415</v>
      </c>
      <c r="N95" s="11" t="n">
        <f aca="false">$E95*8</f>
        <v>18760</v>
      </c>
      <c r="O95" s="11" t="n">
        <f aca="false">$E95*9</f>
        <v>21105</v>
      </c>
      <c r="P95" s="11" t="n">
        <f aca="false">$E95*10</f>
        <v>23450</v>
      </c>
      <c r="Q95" s="11" t="n">
        <f aca="false">$E95*11</f>
        <v>25795</v>
      </c>
      <c r="R95" s="11" t="n">
        <f aca="false">$E95*12</f>
        <v>28140</v>
      </c>
      <c r="S95" s="11" t="n">
        <f aca="false">$E95*13</f>
        <v>30485</v>
      </c>
      <c r="T95" s="11" t="n">
        <f aca="false">$E95*14</f>
        <v>32830</v>
      </c>
      <c r="U95" s="11" t="n">
        <f aca="false">$E95*15</f>
        <v>35175</v>
      </c>
      <c r="V95" s="11" t="n">
        <f aca="false">$E95*16</f>
        <v>37520</v>
      </c>
      <c r="W95" s="11" t="n">
        <f aca="false">$E95*17</f>
        <v>39865</v>
      </c>
      <c r="X95" s="11" t="n">
        <f aca="false">$E95*18</f>
        <v>42210</v>
      </c>
      <c r="Y95" s="11" t="n">
        <f aca="false">$E95*19</f>
        <v>44555</v>
      </c>
      <c r="Z95" s="11" t="n">
        <f aca="false">$E95*20</f>
        <v>46900</v>
      </c>
    </row>
    <row r="96" customFormat="false" ht="15" hidden="false" customHeight="false" outlineLevel="0" collapsed="false">
      <c r="A96" s="0" t="s">
        <v>290</v>
      </c>
      <c r="B96" s="0" t="s">
        <v>216</v>
      </c>
      <c r="C96" s="0" t="n">
        <v>5</v>
      </c>
      <c r="D96" s="0" t="n">
        <v>4.3</v>
      </c>
      <c r="E96" s="11" t="n">
        <v>9500</v>
      </c>
      <c r="F96" s="11"/>
      <c r="G96" s="11" t="n">
        <f aca="false">$E96*1</f>
        <v>9500</v>
      </c>
      <c r="H96" s="11" t="n">
        <f aca="false">$E96*2</f>
        <v>19000</v>
      </c>
      <c r="I96" s="11" t="n">
        <f aca="false">$E96*3</f>
        <v>28500</v>
      </c>
      <c r="J96" s="11" t="n">
        <f aca="false">$E96*4</f>
        <v>38000</v>
      </c>
      <c r="K96" s="11" t="n">
        <f aca="false">$E96*5</f>
        <v>47500</v>
      </c>
      <c r="L96" s="11" t="n">
        <f aca="false">$E96*6</f>
        <v>57000</v>
      </c>
      <c r="M96" s="11" t="n">
        <f aca="false">$E96*7</f>
        <v>66500</v>
      </c>
      <c r="N96" s="11" t="n">
        <f aca="false">$E96*8</f>
        <v>76000</v>
      </c>
      <c r="O96" s="11" t="n">
        <f aca="false">$E96*9</f>
        <v>85500</v>
      </c>
      <c r="P96" s="11" t="n">
        <f aca="false">$E96*10</f>
        <v>95000</v>
      </c>
      <c r="Q96" s="11" t="n">
        <f aca="false">$E96*11</f>
        <v>104500</v>
      </c>
      <c r="R96" s="11" t="n">
        <f aca="false">$E96*12</f>
        <v>114000</v>
      </c>
      <c r="S96" s="11" t="n">
        <f aca="false">$E96*13</f>
        <v>123500</v>
      </c>
      <c r="T96" s="11" t="n">
        <f aca="false">$E96*14</f>
        <v>133000</v>
      </c>
      <c r="U96" s="11" t="n">
        <f aca="false">$E96*15</f>
        <v>142500</v>
      </c>
      <c r="V96" s="11" t="n">
        <f aca="false">$E96*16</f>
        <v>152000</v>
      </c>
      <c r="W96" s="11" t="n">
        <f aca="false">$E96*17</f>
        <v>161500</v>
      </c>
      <c r="X96" s="11" t="n">
        <f aca="false">$E96*18</f>
        <v>171000</v>
      </c>
      <c r="Y96" s="11" t="n">
        <f aca="false">$E96*19</f>
        <v>180500</v>
      </c>
      <c r="Z96" s="11" t="n">
        <f aca="false">$E96*20</f>
        <v>190000</v>
      </c>
    </row>
    <row r="97" customFormat="false" ht="15" hidden="false" customHeight="false" outlineLevel="0" collapsed="false">
      <c r="A97" s="0" t="s">
        <v>291</v>
      </c>
      <c r="B97" s="0" t="s">
        <v>102</v>
      </c>
      <c r="C97" s="0" t="n">
        <v>3</v>
      </c>
      <c r="D97" s="0" t="n">
        <v>4.1</v>
      </c>
      <c r="E97" s="11" t="n">
        <v>4300</v>
      </c>
      <c r="F97" s="11"/>
      <c r="G97" s="11" t="n">
        <f aca="false">$E97*1</f>
        <v>4300</v>
      </c>
      <c r="H97" s="11" t="n">
        <f aca="false">$E97*2</f>
        <v>8600</v>
      </c>
      <c r="I97" s="11" t="n">
        <f aca="false">$E97*3</f>
        <v>12900</v>
      </c>
      <c r="J97" s="11" t="n">
        <f aca="false">$E97*4</f>
        <v>17200</v>
      </c>
      <c r="K97" s="11" t="n">
        <f aca="false">$E97*5</f>
        <v>21500</v>
      </c>
      <c r="L97" s="11" t="n">
        <f aca="false">$E97*6</f>
        <v>25800</v>
      </c>
      <c r="M97" s="11" t="n">
        <f aca="false">$E97*7</f>
        <v>30100</v>
      </c>
      <c r="N97" s="11" t="n">
        <f aca="false">$E97*8</f>
        <v>34400</v>
      </c>
      <c r="O97" s="11" t="n">
        <f aca="false">$E97*9</f>
        <v>38700</v>
      </c>
      <c r="P97" s="11" t="n">
        <f aca="false">$E97*10</f>
        <v>43000</v>
      </c>
      <c r="Q97" s="11" t="n">
        <f aca="false">$E97*11</f>
        <v>47300</v>
      </c>
      <c r="R97" s="11" t="n">
        <f aca="false">$E97*12</f>
        <v>51600</v>
      </c>
      <c r="S97" s="11" t="n">
        <f aca="false">$E97*13</f>
        <v>55900</v>
      </c>
      <c r="T97" s="11" t="n">
        <f aca="false">$E97*14</f>
        <v>60200</v>
      </c>
      <c r="U97" s="11" t="n">
        <f aca="false">$E97*15</f>
        <v>64500</v>
      </c>
      <c r="V97" s="11" t="n">
        <f aca="false">$E97*16</f>
        <v>68800</v>
      </c>
      <c r="W97" s="11" t="n">
        <f aca="false">$E97*17</f>
        <v>73100</v>
      </c>
      <c r="X97" s="11" t="n">
        <f aca="false">$E97*18</f>
        <v>77400</v>
      </c>
      <c r="Y97" s="11" t="n">
        <f aca="false">$E97*19</f>
        <v>81700</v>
      </c>
      <c r="Z97" s="11" t="n">
        <f aca="false">$E97*20</f>
        <v>86000</v>
      </c>
    </row>
    <row r="98" customFormat="false" ht="15" hidden="false" customHeight="false" outlineLevel="0" collapsed="false">
      <c r="A98" s="0" t="s">
        <v>292</v>
      </c>
      <c r="B98" s="0" t="s">
        <v>293</v>
      </c>
      <c r="C98" s="0" t="n">
        <v>4</v>
      </c>
      <c r="D98" s="0" t="n">
        <v>4.2</v>
      </c>
      <c r="E98" s="11" t="n">
        <v>3666</v>
      </c>
      <c r="F98" s="11" t="n">
        <v>741</v>
      </c>
      <c r="G98" s="11" t="n">
        <f aca="false">$E98*1</f>
        <v>3666</v>
      </c>
      <c r="H98" s="11" t="n">
        <f aca="false">$E98*2</f>
        <v>7332</v>
      </c>
      <c r="I98" s="11" t="n">
        <f aca="false">$E98*3</f>
        <v>10998</v>
      </c>
      <c r="J98" s="11" t="n">
        <f aca="false">$E98*4</f>
        <v>14664</v>
      </c>
      <c r="K98" s="11" t="n">
        <f aca="false">$E98*5</f>
        <v>18330</v>
      </c>
      <c r="L98" s="11" t="n">
        <f aca="false">$E98*6</f>
        <v>21996</v>
      </c>
      <c r="M98" s="11" t="n">
        <f aca="false">$E98*7</f>
        <v>25662</v>
      </c>
      <c r="N98" s="11" t="n">
        <f aca="false">$E98*8</f>
        <v>29328</v>
      </c>
      <c r="O98" s="11" t="n">
        <f aca="false">$E98*9</f>
        <v>32994</v>
      </c>
      <c r="P98" s="11" t="n">
        <f aca="false">$E98*10</f>
        <v>36660</v>
      </c>
      <c r="Q98" s="11" t="n">
        <f aca="false">$E98*11</f>
        <v>40326</v>
      </c>
      <c r="R98" s="11" t="n">
        <f aca="false">$E98*12</f>
        <v>43992</v>
      </c>
      <c r="S98" s="11" t="n">
        <f aca="false">$E98*13</f>
        <v>47658</v>
      </c>
      <c r="T98" s="11" t="n">
        <f aca="false">$E98*14</f>
        <v>51324</v>
      </c>
      <c r="U98" s="11" t="n">
        <f aca="false">$E98*15</f>
        <v>54990</v>
      </c>
      <c r="V98" s="11" t="n">
        <f aca="false">$E98*16</f>
        <v>58656</v>
      </c>
      <c r="W98" s="11" t="n">
        <f aca="false">$E98*17</f>
        <v>62322</v>
      </c>
      <c r="X98" s="11" t="n">
        <f aca="false">$E98*18</f>
        <v>65988</v>
      </c>
      <c r="Y98" s="11" t="n">
        <f aca="false">$E98*19</f>
        <v>69654</v>
      </c>
      <c r="Z98" s="11" t="n">
        <f aca="false">$E98*20</f>
        <v>73320</v>
      </c>
    </row>
    <row r="99" customFormat="false" ht="15" hidden="false" customHeight="false" outlineLevel="0" collapsed="false">
      <c r="A99" s="0" t="s">
        <v>294</v>
      </c>
      <c r="B99" s="0" t="s">
        <v>295</v>
      </c>
      <c r="C99" s="0" t="n">
        <v>5</v>
      </c>
      <c r="D99" s="0" t="n">
        <v>4.8</v>
      </c>
      <c r="E99" s="11" t="n">
        <v>14875</v>
      </c>
      <c r="F99" s="11"/>
      <c r="G99" s="11" t="n">
        <f aca="false">$E99*1</f>
        <v>14875</v>
      </c>
      <c r="H99" s="11" t="n">
        <f aca="false">$E99*2</f>
        <v>29750</v>
      </c>
      <c r="I99" s="11" t="n">
        <f aca="false">$E99*3</f>
        <v>44625</v>
      </c>
      <c r="J99" s="11" t="n">
        <f aca="false">$E99*4</f>
        <v>59500</v>
      </c>
      <c r="K99" s="11" t="n">
        <f aca="false">$E99*5</f>
        <v>74375</v>
      </c>
      <c r="L99" s="11" t="n">
        <f aca="false">$E99*6</f>
        <v>89250</v>
      </c>
      <c r="M99" s="11" t="n">
        <f aca="false">$E99*7</f>
        <v>104125</v>
      </c>
      <c r="N99" s="11" t="n">
        <f aca="false">$E99*8</f>
        <v>119000</v>
      </c>
      <c r="O99" s="11" t="n">
        <f aca="false">$E99*9</f>
        <v>133875</v>
      </c>
      <c r="P99" s="11" t="n">
        <f aca="false">$E99*10</f>
        <v>148750</v>
      </c>
      <c r="Q99" s="11" t="n">
        <f aca="false">$E99*11</f>
        <v>163625</v>
      </c>
      <c r="R99" s="11" t="n">
        <f aca="false">$E99*12</f>
        <v>178500</v>
      </c>
      <c r="S99" s="11" t="n">
        <f aca="false">$E99*13</f>
        <v>193375</v>
      </c>
      <c r="T99" s="11" t="n">
        <f aca="false">$E99*14</f>
        <v>208250</v>
      </c>
      <c r="U99" s="11" t="n">
        <f aca="false">$E99*15</f>
        <v>223125</v>
      </c>
      <c r="V99" s="11" t="n">
        <f aca="false">$E99*16</f>
        <v>238000</v>
      </c>
      <c r="W99" s="11" t="n">
        <f aca="false">$E99*17</f>
        <v>252875</v>
      </c>
      <c r="X99" s="11" t="n">
        <f aca="false">$E99*18</f>
        <v>267750</v>
      </c>
      <c r="Y99" s="11" t="n">
        <f aca="false">$E99*19</f>
        <v>282625</v>
      </c>
      <c r="Z99" s="11" t="n">
        <f aca="false">$E99*20</f>
        <v>297500</v>
      </c>
    </row>
    <row r="100" customFormat="false" ht="15" hidden="false" customHeight="false" outlineLevel="0" collapsed="false">
      <c r="A100" s="0" t="s">
        <v>296</v>
      </c>
      <c r="B100" s="0" t="s">
        <v>182</v>
      </c>
      <c r="C100" s="0" t="n">
        <v>3</v>
      </c>
      <c r="D100" s="0" t="n">
        <v>3</v>
      </c>
      <c r="E100" s="11" t="n">
        <v>1505</v>
      </c>
      <c r="F100" s="11" t="n">
        <v>396</v>
      </c>
      <c r="G100" s="11" t="n">
        <f aca="false">$E100*1</f>
        <v>1505</v>
      </c>
      <c r="H100" s="11" t="n">
        <f aca="false">$E100*2</f>
        <v>3010</v>
      </c>
      <c r="I100" s="11" t="n">
        <f aca="false">$E100*3</f>
        <v>4515</v>
      </c>
      <c r="J100" s="11" t="n">
        <f aca="false">$E100*4</f>
        <v>6020</v>
      </c>
      <c r="K100" s="11" t="n">
        <f aca="false">$E100*5</f>
        <v>7525</v>
      </c>
      <c r="L100" s="11" t="n">
        <f aca="false">$E100*6</f>
        <v>9030</v>
      </c>
      <c r="M100" s="11" t="n">
        <f aca="false">$E100*7</f>
        <v>10535</v>
      </c>
      <c r="N100" s="11" t="n">
        <f aca="false">$E100*8</f>
        <v>12040</v>
      </c>
      <c r="O100" s="11" t="n">
        <f aca="false">$E100*9</f>
        <v>13545</v>
      </c>
      <c r="P100" s="11" t="n">
        <f aca="false">$E100*10</f>
        <v>15050</v>
      </c>
      <c r="Q100" s="11" t="n">
        <f aca="false">$E100*11</f>
        <v>16555</v>
      </c>
      <c r="R100" s="11" t="n">
        <f aca="false">$E100*12</f>
        <v>18060</v>
      </c>
      <c r="S100" s="11" t="n">
        <f aca="false">$E100*13</f>
        <v>19565</v>
      </c>
      <c r="T100" s="11" t="n">
        <f aca="false">$E100*14</f>
        <v>21070</v>
      </c>
      <c r="U100" s="11" t="n">
        <f aca="false">$E100*15</f>
        <v>22575</v>
      </c>
      <c r="V100" s="11" t="n">
        <f aca="false">$E100*16</f>
        <v>24080</v>
      </c>
      <c r="W100" s="11" t="n">
        <f aca="false">$E100*17</f>
        <v>25585</v>
      </c>
      <c r="X100" s="11" t="n">
        <f aca="false">$E100*18</f>
        <v>27090</v>
      </c>
      <c r="Y100" s="11" t="n">
        <f aca="false">$E100*19</f>
        <v>28595</v>
      </c>
      <c r="Z100" s="11" t="n">
        <f aca="false">$E100*20</f>
        <v>30100</v>
      </c>
    </row>
    <row r="101" customFormat="false" ht="15" hidden="false" customHeight="false" outlineLevel="0" collapsed="false">
      <c r="A101" s="0" t="s">
        <v>297</v>
      </c>
      <c r="B101" s="0" t="s">
        <v>216</v>
      </c>
      <c r="C101" s="0" t="n">
        <v>4</v>
      </c>
      <c r="D101" s="0" t="n">
        <v>3.6</v>
      </c>
      <c r="E101" s="11" t="n">
        <v>3977</v>
      </c>
      <c r="F101" s="11" t="n">
        <v>804</v>
      </c>
      <c r="G101" s="11" t="n">
        <f aca="false">$E101*1</f>
        <v>3977</v>
      </c>
      <c r="H101" s="11" t="n">
        <f aca="false">$E101*2</f>
        <v>7954</v>
      </c>
      <c r="I101" s="11" t="n">
        <f aca="false">$E101*3</f>
        <v>11931</v>
      </c>
      <c r="J101" s="11" t="n">
        <f aca="false">$E101*4</f>
        <v>15908</v>
      </c>
      <c r="K101" s="11" t="n">
        <f aca="false">$E101*5</f>
        <v>19885</v>
      </c>
      <c r="L101" s="11" t="n">
        <f aca="false">$E101*6</f>
        <v>23862</v>
      </c>
      <c r="M101" s="11" t="n">
        <f aca="false">$E101*7</f>
        <v>27839</v>
      </c>
      <c r="N101" s="11" t="n">
        <f aca="false">$E101*8</f>
        <v>31816</v>
      </c>
      <c r="O101" s="11" t="n">
        <f aca="false">$E101*9</f>
        <v>35793</v>
      </c>
      <c r="P101" s="11" t="n">
        <f aca="false">$E101*10</f>
        <v>39770</v>
      </c>
      <c r="Q101" s="11" t="n">
        <f aca="false">$E101*11</f>
        <v>43747</v>
      </c>
      <c r="R101" s="11" t="n">
        <f aca="false">$E101*12</f>
        <v>47724</v>
      </c>
      <c r="S101" s="11" t="n">
        <f aca="false">$E101*13</f>
        <v>51701</v>
      </c>
      <c r="T101" s="11" t="n">
        <f aca="false">$E101*14</f>
        <v>55678</v>
      </c>
      <c r="U101" s="11" t="n">
        <f aca="false">$E101*15</f>
        <v>59655</v>
      </c>
      <c r="V101" s="11" t="n">
        <f aca="false">$E101*16</f>
        <v>63632</v>
      </c>
      <c r="W101" s="11" t="n">
        <f aca="false">$E101*17</f>
        <v>67609</v>
      </c>
      <c r="X101" s="11" t="n">
        <f aca="false">$E101*18</f>
        <v>71586</v>
      </c>
      <c r="Y101" s="11" t="n">
        <f aca="false">$E101*19</f>
        <v>75563</v>
      </c>
      <c r="Z101" s="11" t="n">
        <f aca="false">$E101*20</f>
        <v>79540</v>
      </c>
    </row>
    <row r="102" customFormat="false" ht="15" hidden="false" customHeight="false" outlineLevel="0" collapsed="false">
      <c r="A102" s="0" t="s">
        <v>298</v>
      </c>
      <c r="B102" s="0" t="s">
        <v>91</v>
      </c>
      <c r="C102" s="0" t="n">
        <v>5</v>
      </c>
      <c r="D102" s="0" t="n">
        <v>4.3</v>
      </c>
      <c r="E102" s="11" t="n">
        <v>7500</v>
      </c>
      <c r="F102" s="11"/>
      <c r="G102" s="11" t="n">
        <f aca="false">$E102*1</f>
        <v>7500</v>
      </c>
      <c r="H102" s="11" t="n">
        <f aca="false">$E102*2</f>
        <v>15000</v>
      </c>
      <c r="I102" s="11" t="n">
        <f aca="false">$E102*3</f>
        <v>22500</v>
      </c>
      <c r="J102" s="11" t="n">
        <f aca="false">$E102*4</f>
        <v>30000</v>
      </c>
      <c r="K102" s="11" t="n">
        <f aca="false">$E102*5</f>
        <v>37500</v>
      </c>
      <c r="L102" s="11" t="n">
        <f aca="false">$E102*6</f>
        <v>45000</v>
      </c>
      <c r="M102" s="11" t="n">
        <f aca="false">$E102*7</f>
        <v>52500</v>
      </c>
      <c r="N102" s="11" t="n">
        <f aca="false">$E102*8</f>
        <v>60000</v>
      </c>
      <c r="O102" s="11" t="n">
        <f aca="false">$E102*9</f>
        <v>67500</v>
      </c>
      <c r="P102" s="11" t="n">
        <f aca="false">$E102*10</f>
        <v>75000</v>
      </c>
      <c r="Q102" s="11" t="n">
        <f aca="false">$E102*11</f>
        <v>82500</v>
      </c>
      <c r="R102" s="11" t="n">
        <f aca="false">$E102*12</f>
        <v>90000</v>
      </c>
      <c r="S102" s="11" t="n">
        <f aca="false">$E102*13</f>
        <v>97500</v>
      </c>
      <c r="T102" s="11" t="n">
        <f aca="false">$E102*14</f>
        <v>105000</v>
      </c>
      <c r="U102" s="11" t="n">
        <f aca="false">$E102*15</f>
        <v>112500</v>
      </c>
      <c r="V102" s="11" t="n">
        <f aca="false">$E102*16</f>
        <v>120000</v>
      </c>
      <c r="W102" s="11" t="n">
        <f aca="false">$E102*17</f>
        <v>127500</v>
      </c>
      <c r="X102" s="11" t="n">
        <f aca="false">$E102*18</f>
        <v>135000</v>
      </c>
      <c r="Y102" s="11" t="n">
        <f aca="false">$E102*19</f>
        <v>142500</v>
      </c>
      <c r="Z102" s="11" t="n">
        <f aca="false">$E102*20</f>
        <v>150000</v>
      </c>
    </row>
    <row r="103" customFormat="false" ht="28.35" hidden="false" customHeight="false" outlineLevel="0" collapsed="false">
      <c r="A103" s="12" t="s">
        <v>299</v>
      </c>
      <c r="B103" s="0" t="s">
        <v>220</v>
      </c>
      <c r="D103" s="0" t="n">
        <v>4.1</v>
      </c>
      <c r="E103" s="11" t="n">
        <v>4300</v>
      </c>
      <c r="F103" s="11" t="n">
        <v>969</v>
      </c>
      <c r="G103" s="11" t="n">
        <f aca="false">$E103*1</f>
        <v>4300</v>
      </c>
      <c r="H103" s="11" t="n">
        <f aca="false">$E103*2</f>
        <v>8600</v>
      </c>
      <c r="I103" s="11" t="n">
        <f aca="false">$E103*3</f>
        <v>12900</v>
      </c>
      <c r="J103" s="11" t="n">
        <f aca="false">$E103*4</f>
        <v>17200</v>
      </c>
      <c r="K103" s="11" t="n">
        <f aca="false">$E103*5</f>
        <v>21500</v>
      </c>
      <c r="L103" s="11" t="n">
        <f aca="false">$E103*6</f>
        <v>25800</v>
      </c>
      <c r="M103" s="11" t="n">
        <f aca="false">$E103*7</f>
        <v>30100</v>
      </c>
      <c r="N103" s="11" t="n">
        <f aca="false">$E103*8</f>
        <v>34400</v>
      </c>
      <c r="O103" s="11" t="n">
        <f aca="false">$E103*9</f>
        <v>38700</v>
      </c>
      <c r="P103" s="11" t="n">
        <f aca="false">$E103*10</f>
        <v>43000</v>
      </c>
      <c r="Q103" s="11" t="n">
        <f aca="false">$E103*11</f>
        <v>47300</v>
      </c>
      <c r="R103" s="11" t="n">
        <f aca="false">$E103*12</f>
        <v>51600</v>
      </c>
      <c r="S103" s="11" t="n">
        <f aca="false">$E103*13</f>
        <v>55900</v>
      </c>
      <c r="T103" s="11" t="n">
        <f aca="false">$E103*14</f>
        <v>60200</v>
      </c>
      <c r="U103" s="11" t="n">
        <f aca="false">$E103*15</f>
        <v>64500</v>
      </c>
      <c r="V103" s="11" t="n">
        <f aca="false">$E103*16</f>
        <v>68800</v>
      </c>
      <c r="W103" s="11" t="n">
        <f aca="false">$E103*17</f>
        <v>73100</v>
      </c>
      <c r="X103" s="11" t="n">
        <f aca="false">$E103*18</f>
        <v>77400</v>
      </c>
      <c r="Y103" s="11" t="n">
        <f aca="false">$E103*19</f>
        <v>81700</v>
      </c>
      <c r="Z103" s="11" t="n">
        <f aca="false">$E103*20</f>
        <v>86000</v>
      </c>
    </row>
    <row r="104" customFormat="false" ht="15" hidden="false" customHeight="false" outlineLevel="0" collapsed="false">
      <c r="A104" s="0" t="s">
        <v>300</v>
      </c>
      <c r="B104" s="0" t="s">
        <v>301</v>
      </c>
      <c r="C104" s="0" t="n">
        <v>3</v>
      </c>
      <c r="D104" s="0" t="n">
        <v>3.5</v>
      </c>
      <c r="E104" s="11" t="n">
        <v>1669</v>
      </c>
      <c r="F104" s="11" t="n">
        <v>337</v>
      </c>
      <c r="G104" s="11" t="n">
        <f aca="false">$E104*1</f>
        <v>1669</v>
      </c>
      <c r="H104" s="11" t="n">
        <f aca="false">$E104*2</f>
        <v>3338</v>
      </c>
      <c r="I104" s="11" t="n">
        <f aca="false">$E104*3</f>
        <v>5007</v>
      </c>
      <c r="J104" s="11" t="n">
        <f aca="false">$E104*4</f>
        <v>6676</v>
      </c>
      <c r="K104" s="11" t="n">
        <f aca="false">$E104*5</f>
        <v>8345</v>
      </c>
      <c r="L104" s="11" t="n">
        <f aca="false">$E104*6</f>
        <v>10014</v>
      </c>
      <c r="M104" s="11" t="n">
        <f aca="false">$E104*7</f>
        <v>11683</v>
      </c>
      <c r="N104" s="11" t="n">
        <f aca="false">$E104*8</f>
        <v>13352</v>
      </c>
      <c r="O104" s="11" t="n">
        <f aca="false">$E104*9</f>
        <v>15021</v>
      </c>
      <c r="P104" s="11" t="n">
        <f aca="false">$E104*10</f>
        <v>16690</v>
      </c>
      <c r="Q104" s="11" t="n">
        <f aca="false">$E104*11</f>
        <v>18359</v>
      </c>
      <c r="R104" s="11" t="n">
        <f aca="false">$E104*12</f>
        <v>20028</v>
      </c>
      <c r="S104" s="11" t="n">
        <f aca="false">$E104*13</f>
        <v>21697</v>
      </c>
      <c r="T104" s="11" t="n">
        <f aca="false">$E104*14</f>
        <v>23366</v>
      </c>
      <c r="U104" s="11" t="n">
        <f aca="false">$E104*15</f>
        <v>25035</v>
      </c>
      <c r="V104" s="11" t="n">
        <f aca="false">$E104*16</f>
        <v>26704</v>
      </c>
      <c r="W104" s="11" t="n">
        <f aca="false">$E104*17</f>
        <v>28373</v>
      </c>
      <c r="X104" s="11" t="n">
        <f aca="false">$E104*18</f>
        <v>30042</v>
      </c>
      <c r="Y104" s="11" t="n">
        <f aca="false">$E104*19</f>
        <v>31711</v>
      </c>
      <c r="Z104" s="11" t="n">
        <f aca="false">$E104*20</f>
        <v>33380</v>
      </c>
    </row>
    <row r="105" customFormat="false" ht="15" hidden="false" customHeight="false" outlineLevel="0" collapsed="false">
      <c r="A105" s="0" t="s">
        <v>302</v>
      </c>
      <c r="B105" s="0" t="s">
        <v>203</v>
      </c>
      <c r="C105" s="0" t="n">
        <v>3</v>
      </c>
      <c r="D105" s="0" t="n">
        <v>4</v>
      </c>
      <c r="E105" s="11" t="n">
        <v>1865</v>
      </c>
      <c r="F105" s="11" t="n">
        <v>569</v>
      </c>
      <c r="G105" s="11" t="n">
        <f aca="false">$E105*1</f>
        <v>1865</v>
      </c>
      <c r="H105" s="11" t="n">
        <f aca="false">$E105*2</f>
        <v>3730</v>
      </c>
      <c r="I105" s="11" t="n">
        <f aca="false">$E105*3</f>
        <v>5595</v>
      </c>
      <c r="J105" s="11" t="n">
        <f aca="false">$E105*4</f>
        <v>7460</v>
      </c>
      <c r="K105" s="11" t="n">
        <f aca="false">$E105*5</f>
        <v>9325</v>
      </c>
      <c r="L105" s="11" t="n">
        <f aca="false">$E105*6</f>
        <v>11190</v>
      </c>
      <c r="M105" s="11" t="n">
        <f aca="false">$E105*7</f>
        <v>13055</v>
      </c>
      <c r="N105" s="11" t="n">
        <f aca="false">$E105*8</f>
        <v>14920</v>
      </c>
      <c r="O105" s="11" t="n">
        <f aca="false">$E105*9</f>
        <v>16785</v>
      </c>
      <c r="P105" s="11" t="n">
        <f aca="false">$E105*10</f>
        <v>18650</v>
      </c>
      <c r="Q105" s="11" t="n">
        <f aca="false">$E105*11</f>
        <v>20515</v>
      </c>
      <c r="R105" s="11" t="n">
        <f aca="false">$E105*12</f>
        <v>22380</v>
      </c>
      <c r="S105" s="11" t="n">
        <f aca="false">$E105*13</f>
        <v>24245</v>
      </c>
      <c r="T105" s="11" t="n">
        <f aca="false">$E105*14</f>
        <v>26110</v>
      </c>
      <c r="U105" s="11" t="n">
        <f aca="false">$E105*15</f>
        <v>27975</v>
      </c>
      <c r="V105" s="11" t="n">
        <f aca="false">$E105*16</f>
        <v>29840</v>
      </c>
      <c r="W105" s="11" t="n">
        <f aca="false">$E105*17</f>
        <v>31705</v>
      </c>
      <c r="X105" s="11" t="n">
        <f aca="false">$E105*18</f>
        <v>33570</v>
      </c>
      <c r="Y105" s="11" t="n">
        <f aca="false">$E105*19</f>
        <v>35435</v>
      </c>
      <c r="Z105" s="11" t="n">
        <f aca="false">$E105*20</f>
        <v>37300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25" min="6" style="0" width="10"/>
  </cols>
  <sheetData>
    <row r="1" customFormat="false" ht="17.35" hidden="false" customHeight="false" outlineLevel="0" collapsed="false">
      <c r="A1" s="8" t="s">
        <v>303</v>
      </c>
    </row>
    <row r="2" customFormat="false" ht="15" hidden="false" customHeight="false" outlineLevel="0" collapsed="false">
      <c r="A2" s="9" t="s">
        <v>304</v>
      </c>
    </row>
    <row r="4" customFormat="false" ht="29.85" hidden="false" customHeight="false" outlineLevel="0" collapsed="false">
      <c r="A4" s="7" t="s">
        <v>169</v>
      </c>
      <c r="B4" s="7" t="s">
        <v>170</v>
      </c>
      <c r="C4" s="7" t="s">
        <v>173</v>
      </c>
      <c r="D4" s="7" t="s">
        <v>305</v>
      </c>
      <c r="E4" s="7" t="s">
        <v>306</v>
      </c>
      <c r="F4" s="10" t="s">
        <v>147</v>
      </c>
      <c r="G4" s="10" t="s">
        <v>148</v>
      </c>
      <c r="H4" s="10" t="s">
        <v>149</v>
      </c>
      <c r="I4" s="10" t="s">
        <v>150</v>
      </c>
      <c r="J4" s="10" t="s">
        <v>151</v>
      </c>
      <c r="K4" s="10" t="s">
        <v>152</v>
      </c>
      <c r="L4" s="10" t="s">
        <v>153</v>
      </c>
      <c r="M4" s="10" t="s">
        <v>154</v>
      </c>
      <c r="N4" s="10" t="s">
        <v>155</v>
      </c>
      <c r="O4" s="10" t="s">
        <v>156</v>
      </c>
      <c r="P4" s="10" t="s">
        <v>157</v>
      </c>
      <c r="Q4" s="10" t="s">
        <v>158</v>
      </c>
      <c r="R4" s="10" t="s">
        <v>159</v>
      </c>
      <c r="S4" s="10" t="s">
        <v>160</v>
      </c>
      <c r="T4" s="10" t="s">
        <v>161</v>
      </c>
      <c r="U4" s="10" t="s">
        <v>162</v>
      </c>
      <c r="V4" s="10" t="s">
        <v>163</v>
      </c>
      <c r="W4" s="10" t="s">
        <v>164</v>
      </c>
      <c r="X4" s="10" t="s">
        <v>165</v>
      </c>
      <c r="Y4" s="10" t="s">
        <v>166</v>
      </c>
    </row>
    <row r="5" customFormat="false" ht="15" hidden="false" customHeight="false" outlineLevel="0" collapsed="false">
      <c r="A5" s="0" t="s">
        <v>307</v>
      </c>
      <c r="B5" s="0" t="s">
        <v>308</v>
      </c>
      <c r="C5" s="11" t="n">
        <v>1040</v>
      </c>
      <c r="D5" s="0" t="s">
        <v>309</v>
      </c>
      <c r="E5" s="0" t="n">
        <v>2617</v>
      </c>
      <c r="F5" s="11" t="n">
        <f aca="false">$C5*1</f>
        <v>1040</v>
      </c>
      <c r="G5" s="11" t="n">
        <f aca="false">$C5*2</f>
        <v>2080</v>
      </c>
      <c r="H5" s="11" t="n">
        <f aca="false">$C5*3</f>
        <v>3120</v>
      </c>
      <c r="I5" s="11" t="n">
        <f aca="false">$C5*4</f>
        <v>4160</v>
      </c>
      <c r="J5" s="11" t="n">
        <f aca="false">$C5*5</f>
        <v>5200</v>
      </c>
      <c r="K5" s="11" t="n">
        <f aca="false">$C5*6</f>
        <v>6240</v>
      </c>
      <c r="L5" s="11" t="n">
        <f aca="false">$C5*7</f>
        <v>7280</v>
      </c>
      <c r="M5" s="11" t="n">
        <f aca="false">$C5*8</f>
        <v>8320</v>
      </c>
      <c r="N5" s="11" t="n">
        <f aca="false">$C5*9</f>
        <v>9360</v>
      </c>
      <c r="O5" s="11" t="n">
        <f aca="false">$C5*10</f>
        <v>10400</v>
      </c>
      <c r="P5" s="11" t="n">
        <f aca="false">$C5*11</f>
        <v>11440</v>
      </c>
      <c r="Q5" s="11" t="n">
        <f aca="false">$C5*12</f>
        <v>12480</v>
      </c>
      <c r="R5" s="11" t="n">
        <f aca="false">$C5*13</f>
        <v>13520</v>
      </c>
      <c r="S5" s="11" t="n">
        <f aca="false">$C5*14</f>
        <v>14560</v>
      </c>
      <c r="T5" s="11" t="n">
        <f aca="false">$C5*15</f>
        <v>15600</v>
      </c>
      <c r="U5" s="11" t="n">
        <f aca="false">$C5*16</f>
        <v>16640</v>
      </c>
      <c r="V5" s="11" t="n">
        <f aca="false">$C5*17</f>
        <v>17680</v>
      </c>
      <c r="W5" s="11" t="n">
        <f aca="false">$C5*18</f>
        <v>18720</v>
      </c>
      <c r="X5" s="11" t="n">
        <f aca="false">$C5*19</f>
        <v>19760</v>
      </c>
      <c r="Y5" s="11" t="n">
        <f aca="false">$C5*20</f>
        <v>20800</v>
      </c>
    </row>
    <row r="6" customFormat="false" ht="15" hidden="false" customHeight="false" outlineLevel="0" collapsed="false">
      <c r="A6" s="0" t="s">
        <v>310</v>
      </c>
      <c r="B6" s="0" t="s">
        <v>311</v>
      </c>
      <c r="C6" s="11" t="n">
        <v>1828</v>
      </c>
      <c r="D6" s="0" t="s">
        <v>312</v>
      </c>
      <c r="E6" s="0" t="n">
        <v>3524</v>
      </c>
      <c r="F6" s="11" t="n">
        <f aca="false">$C6*1</f>
        <v>1828</v>
      </c>
      <c r="G6" s="11" t="n">
        <f aca="false">$C6*2</f>
        <v>3656</v>
      </c>
      <c r="H6" s="11" t="n">
        <f aca="false">$C6*3</f>
        <v>5484</v>
      </c>
      <c r="I6" s="11" t="n">
        <f aca="false">$C6*4</f>
        <v>7312</v>
      </c>
      <c r="J6" s="11" t="n">
        <f aca="false">$C6*5</f>
        <v>9140</v>
      </c>
      <c r="K6" s="11" t="n">
        <f aca="false">$C6*6</f>
        <v>10968</v>
      </c>
      <c r="L6" s="11" t="n">
        <f aca="false">$C6*7</f>
        <v>12796</v>
      </c>
      <c r="M6" s="11" t="n">
        <f aca="false">$C6*8</f>
        <v>14624</v>
      </c>
      <c r="N6" s="11" t="n">
        <f aca="false">$C6*9</f>
        <v>16452</v>
      </c>
      <c r="O6" s="11" t="n">
        <f aca="false">$C6*10</f>
        <v>18280</v>
      </c>
      <c r="P6" s="11" t="n">
        <f aca="false">$C6*11</f>
        <v>20108</v>
      </c>
      <c r="Q6" s="11" t="n">
        <f aca="false">$C6*12</f>
        <v>21936</v>
      </c>
      <c r="R6" s="11" t="n">
        <f aca="false">$C6*13</f>
        <v>23764</v>
      </c>
      <c r="S6" s="11" t="n">
        <f aca="false">$C6*14</f>
        <v>25592</v>
      </c>
      <c r="T6" s="11" t="n">
        <f aca="false">$C6*15</f>
        <v>27420</v>
      </c>
      <c r="U6" s="11" t="n">
        <f aca="false">$C6*16</f>
        <v>29248</v>
      </c>
      <c r="V6" s="11" t="n">
        <f aca="false">$C6*17</f>
        <v>31076</v>
      </c>
      <c r="W6" s="11" t="n">
        <f aca="false">$C6*18</f>
        <v>32904</v>
      </c>
      <c r="X6" s="11" t="n">
        <f aca="false">$C6*19</f>
        <v>34732</v>
      </c>
      <c r="Y6" s="11" t="n">
        <f aca="false">$C6*20</f>
        <v>36560</v>
      </c>
    </row>
    <row r="7" customFormat="false" ht="15" hidden="false" customHeight="false" outlineLevel="0" collapsed="false">
      <c r="A7" s="0" t="s">
        <v>313</v>
      </c>
      <c r="B7" s="0" t="s">
        <v>314</v>
      </c>
      <c r="C7" s="11" t="n">
        <v>1423</v>
      </c>
      <c r="D7" s="0" t="s">
        <v>315</v>
      </c>
      <c r="E7" s="0" t="n">
        <v>253</v>
      </c>
      <c r="F7" s="11" t="n">
        <f aca="false">$C7*1</f>
        <v>1423</v>
      </c>
      <c r="G7" s="11" t="n">
        <f aca="false">$C7*2</f>
        <v>2846</v>
      </c>
      <c r="H7" s="11" t="n">
        <f aca="false">$C7*3</f>
        <v>4269</v>
      </c>
      <c r="I7" s="11" t="n">
        <f aca="false">$C7*4</f>
        <v>5692</v>
      </c>
      <c r="J7" s="11" t="n">
        <f aca="false">$C7*5</f>
        <v>7115</v>
      </c>
      <c r="K7" s="11" t="n">
        <f aca="false">$C7*6</f>
        <v>8538</v>
      </c>
      <c r="L7" s="11" t="n">
        <f aca="false">$C7*7</f>
        <v>9961</v>
      </c>
      <c r="M7" s="11" t="n">
        <f aca="false">$C7*8</f>
        <v>11384</v>
      </c>
      <c r="N7" s="11" t="n">
        <f aca="false">$C7*9</f>
        <v>12807</v>
      </c>
      <c r="O7" s="11" t="n">
        <f aca="false">$C7*10</f>
        <v>14230</v>
      </c>
      <c r="P7" s="11" t="n">
        <f aca="false">$C7*11</f>
        <v>15653</v>
      </c>
      <c r="Q7" s="11" t="n">
        <f aca="false">$C7*12</f>
        <v>17076</v>
      </c>
      <c r="R7" s="11" t="n">
        <f aca="false">$C7*13</f>
        <v>18499</v>
      </c>
      <c r="S7" s="11" t="n">
        <f aca="false">$C7*14</f>
        <v>19922</v>
      </c>
      <c r="T7" s="11" t="n">
        <f aca="false">$C7*15</f>
        <v>21345</v>
      </c>
      <c r="U7" s="11" t="n">
        <f aca="false">$C7*16</f>
        <v>22768</v>
      </c>
      <c r="V7" s="11" t="n">
        <f aca="false">$C7*17</f>
        <v>24191</v>
      </c>
      <c r="W7" s="11" t="n">
        <f aca="false">$C7*18</f>
        <v>25614</v>
      </c>
      <c r="X7" s="11" t="n">
        <f aca="false">$C7*19</f>
        <v>27037</v>
      </c>
      <c r="Y7" s="11" t="n">
        <f aca="false">$C7*20</f>
        <v>28460</v>
      </c>
    </row>
    <row r="8" customFormat="false" ht="15" hidden="false" customHeight="false" outlineLevel="0" collapsed="false">
      <c r="A8" s="0" t="s">
        <v>316</v>
      </c>
      <c r="B8" s="0" t="s">
        <v>317</v>
      </c>
      <c r="C8" s="11" t="n">
        <v>1410</v>
      </c>
      <c r="D8" s="0" t="s">
        <v>318</v>
      </c>
      <c r="E8" s="0" t="n">
        <v>429</v>
      </c>
      <c r="F8" s="11" t="n">
        <f aca="false">$C8*1</f>
        <v>1410</v>
      </c>
      <c r="G8" s="11" t="n">
        <f aca="false">$C8*2</f>
        <v>2820</v>
      </c>
      <c r="H8" s="11" t="n">
        <f aca="false">$C8*3</f>
        <v>4230</v>
      </c>
      <c r="I8" s="11" t="n">
        <f aca="false">$C8*4</f>
        <v>5640</v>
      </c>
      <c r="J8" s="11" t="n">
        <f aca="false">$C8*5</f>
        <v>7050</v>
      </c>
      <c r="K8" s="11" t="n">
        <f aca="false">$C8*6</f>
        <v>8460</v>
      </c>
      <c r="L8" s="11" t="n">
        <f aca="false">$C8*7</f>
        <v>9870</v>
      </c>
      <c r="M8" s="11" t="n">
        <f aca="false">$C8*8</f>
        <v>11280</v>
      </c>
      <c r="N8" s="11" t="n">
        <f aca="false">$C8*9</f>
        <v>12690</v>
      </c>
      <c r="O8" s="11" t="n">
        <f aca="false">$C8*10</f>
        <v>14100</v>
      </c>
      <c r="P8" s="11" t="n">
        <f aca="false">$C8*11</f>
        <v>15510</v>
      </c>
      <c r="Q8" s="11" t="n">
        <f aca="false">$C8*12</f>
        <v>16920</v>
      </c>
      <c r="R8" s="11" t="n">
        <f aca="false">$C8*13</f>
        <v>18330</v>
      </c>
      <c r="S8" s="11" t="n">
        <f aca="false">$C8*14</f>
        <v>19740</v>
      </c>
      <c r="T8" s="11" t="n">
        <f aca="false">$C8*15</f>
        <v>21150</v>
      </c>
      <c r="U8" s="11" t="n">
        <f aca="false">$C8*16</f>
        <v>22560</v>
      </c>
      <c r="V8" s="11" t="n">
        <f aca="false">$C8*17</f>
        <v>23970</v>
      </c>
      <c r="W8" s="11" t="n">
        <f aca="false">$C8*18</f>
        <v>25380</v>
      </c>
      <c r="X8" s="11" t="n">
        <f aca="false">$C8*19</f>
        <v>26790</v>
      </c>
      <c r="Y8" s="11" t="n">
        <f aca="false">$C8*20</f>
        <v>28200</v>
      </c>
    </row>
    <row r="9" customFormat="false" ht="15" hidden="false" customHeight="false" outlineLevel="0" collapsed="false">
      <c r="A9" s="0" t="s">
        <v>319</v>
      </c>
      <c r="B9" s="0" t="s">
        <v>320</v>
      </c>
      <c r="C9" s="11" t="n">
        <v>2082</v>
      </c>
      <c r="D9" s="0" t="s">
        <v>318</v>
      </c>
      <c r="E9" s="0" t="n">
        <v>1457</v>
      </c>
      <c r="F9" s="11" t="n">
        <f aca="false">$C9*1</f>
        <v>2082</v>
      </c>
      <c r="G9" s="11" t="n">
        <f aca="false">$C9*2</f>
        <v>4164</v>
      </c>
      <c r="H9" s="11" t="n">
        <f aca="false">$C9*3</f>
        <v>6246</v>
      </c>
      <c r="I9" s="11" t="n">
        <f aca="false">$C9*4</f>
        <v>8328</v>
      </c>
      <c r="J9" s="11" t="n">
        <f aca="false">$C9*5</f>
        <v>10410</v>
      </c>
      <c r="K9" s="11" t="n">
        <f aca="false">$C9*6</f>
        <v>12492</v>
      </c>
      <c r="L9" s="11" t="n">
        <f aca="false">$C9*7</f>
        <v>14574</v>
      </c>
      <c r="M9" s="11" t="n">
        <f aca="false">$C9*8</f>
        <v>16656</v>
      </c>
      <c r="N9" s="11" t="n">
        <f aca="false">$C9*9</f>
        <v>18738</v>
      </c>
      <c r="O9" s="11" t="n">
        <f aca="false">$C9*10</f>
        <v>20820</v>
      </c>
      <c r="P9" s="11" t="n">
        <f aca="false">$C9*11</f>
        <v>22902</v>
      </c>
      <c r="Q9" s="11" t="n">
        <f aca="false">$C9*12</f>
        <v>24984</v>
      </c>
      <c r="R9" s="11" t="n">
        <f aca="false">$C9*13</f>
        <v>27066</v>
      </c>
      <c r="S9" s="11" t="n">
        <f aca="false">$C9*14</f>
        <v>29148</v>
      </c>
      <c r="T9" s="11" t="n">
        <f aca="false">$C9*15</f>
        <v>31230</v>
      </c>
      <c r="U9" s="11" t="n">
        <f aca="false">$C9*16</f>
        <v>33312</v>
      </c>
      <c r="V9" s="11" t="n">
        <f aca="false">$C9*17</f>
        <v>35394</v>
      </c>
      <c r="W9" s="11" t="n">
        <f aca="false">$C9*18</f>
        <v>37476</v>
      </c>
      <c r="X9" s="11" t="n">
        <f aca="false">$C9*19</f>
        <v>39558</v>
      </c>
      <c r="Y9" s="11" t="n">
        <f aca="false">$C9*20</f>
        <v>41640</v>
      </c>
    </row>
    <row r="10" customFormat="false" ht="15" hidden="false" customHeight="false" outlineLevel="0" collapsed="false">
      <c r="A10" s="0" t="s">
        <v>321</v>
      </c>
      <c r="B10" s="0" t="s">
        <v>322</v>
      </c>
      <c r="C10" s="11" t="n">
        <v>1070</v>
      </c>
      <c r="D10" s="0" t="s">
        <v>318</v>
      </c>
      <c r="E10" s="0" t="n">
        <v>1144</v>
      </c>
      <c r="F10" s="11" t="n">
        <f aca="false">$C10*1</f>
        <v>1070</v>
      </c>
      <c r="G10" s="11" t="n">
        <f aca="false">$C10*2</f>
        <v>2140</v>
      </c>
      <c r="H10" s="11" t="n">
        <f aca="false">$C10*3</f>
        <v>3210</v>
      </c>
      <c r="I10" s="11" t="n">
        <f aca="false">$C10*4</f>
        <v>4280</v>
      </c>
      <c r="J10" s="11" t="n">
        <f aca="false">$C10*5</f>
        <v>5350</v>
      </c>
      <c r="K10" s="11" t="n">
        <f aca="false">$C10*6</f>
        <v>6420</v>
      </c>
      <c r="L10" s="11" t="n">
        <f aca="false">$C10*7</f>
        <v>7490</v>
      </c>
      <c r="M10" s="11" t="n">
        <f aca="false">$C10*8</f>
        <v>8560</v>
      </c>
      <c r="N10" s="11" t="n">
        <f aca="false">$C10*9</f>
        <v>9630</v>
      </c>
      <c r="O10" s="11" t="n">
        <f aca="false">$C10*10</f>
        <v>10700</v>
      </c>
      <c r="P10" s="11" t="n">
        <f aca="false">$C10*11</f>
        <v>11770</v>
      </c>
      <c r="Q10" s="11" t="n">
        <f aca="false">$C10*12</f>
        <v>12840</v>
      </c>
      <c r="R10" s="11" t="n">
        <f aca="false">$C10*13</f>
        <v>13910</v>
      </c>
      <c r="S10" s="11" t="n">
        <f aca="false">$C10*14</f>
        <v>14980</v>
      </c>
      <c r="T10" s="11" t="n">
        <f aca="false">$C10*15</f>
        <v>16050</v>
      </c>
      <c r="U10" s="11" t="n">
        <f aca="false">$C10*16</f>
        <v>17120</v>
      </c>
      <c r="V10" s="11" t="n">
        <f aca="false">$C10*17</f>
        <v>18190</v>
      </c>
      <c r="W10" s="11" t="n">
        <f aca="false">$C10*18</f>
        <v>19260</v>
      </c>
      <c r="X10" s="11" t="n">
        <f aca="false">$C10*19</f>
        <v>20330</v>
      </c>
      <c r="Y10" s="11" t="n">
        <f aca="false">$C10*20</f>
        <v>21400</v>
      </c>
    </row>
    <row r="11" customFormat="false" ht="15" hidden="false" customHeight="false" outlineLevel="0" collapsed="false">
      <c r="A11" s="0" t="s">
        <v>323</v>
      </c>
      <c r="B11" s="0" t="s">
        <v>324</v>
      </c>
      <c r="C11" s="11" t="n">
        <v>872</v>
      </c>
      <c r="D11" s="0" t="s">
        <v>312</v>
      </c>
      <c r="E11" s="0" t="n">
        <v>74</v>
      </c>
      <c r="F11" s="11" t="n">
        <f aca="false">$C11*1</f>
        <v>872</v>
      </c>
      <c r="G11" s="11" t="n">
        <f aca="false">$C11*2</f>
        <v>1744</v>
      </c>
      <c r="H11" s="11" t="n">
        <f aca="false">$C11*3</f>
        <v>2616</v>
      </c>
      <c r="I11" s="11" t="n">
        <f aca="false">$C11*4</f>
        <v>3488</v>
      </c>
      <c r="J11" s="11" t="n">
        <f aca="false">$C11*5</f>
        <v>4360</v>
      </c>
      <c r="K11" s="11" t="n">
        <f aca="false">$C11*6</f>
        <v>5232</v>
      </c>
      <c r="L11" s="11" t="n">
        <f aca="false">$C11*7</f>
        <v>6104</v>
      </c>
      <c r="M11" s="11" t="n">
        <f aca="false">$C11*8</f>
        <v>6976</v>
      </c>
      <c r="N11" s="11" t="n">
        <f aca="false">$C11*9</f>
        <v>7848</v>
      </c>
      <c r="O11" s="11" t="n">
        <f aca="false">$C11*10</f>
        <v>8720</v>
      </c>
      <c r="P11" s="11" t="n">
        <f aca="false">$C11*11</f>
        <v>9592</v>
      </c>
      <c r="Q11" s="11" t="n">
        <f aca="false">$C11*12</f>
        <v>10464</v>
      </c>
      <c r="R11" s="11" t="n">
        <f aca="false">$C11*13</f>
        <v>11336</v>
      </c>
      <c r="S11" s="11" t="n">
        <f aca="false">$C11*14</f>
        <v>12208</v>
      </c>
      <c r="T11" s="11" t="n">
        <f aca="false">$C11*15</f>
        <v>13080</v>
      </c>
      <c r="U11" s="11" t="n">
        <f aca="false">$C11*16</f>
        <v>13952</v>
      </c>
      <c r="V11" s="11" t="n">
        <f aca="false">$C11*17</f>
        <v>14824</v>
      </c>
      <c r="W11" s="11" t="n">
        <f aca="false">$C11*18</f>
        <v>15696</v>
      </c>
      <c r="X11" s="11" t="n">
        <f aca="false">$C11*19</f>
        <v>16568</v>
      </c>
      <c r="Y11" s="11" t="n">
        <f aca="false">$C11*20</f>
        <v>17440</v>
      </c>
    </row>
    <row r="12" customFormat="false" ht="15" hidden="false" customHeight="false" outlineLevel="0" collapsed="false">
      <c r="A12" s="0" t="s">
        <v>325</v>
      </c>
      <c r="B12" s="0" t="s">
        <v>326</v>
      </c>
      <c r="C12" s="11" t="n">
        <v>1365</v>
      </c>
      <c r="D12" s="0" t="s">
        <v>327</v>
      </c>
      <c r="E12" s="0" t="n">
        <v>2664</v>
      </c>
      <c r="F12" s="11" t="n">
        <f aca="false">$C12*1</f>
        <v>1365</v>
      </c>
      <c r="G12" s="11" t="n">
        <f aca="false">$C12*2</f>
        <v>2730</v>
      </c>
      <c r="H12" s="11" t="n">
        <f aca="false">$C12*3</f>
        <v>4095</v>
      </c>
      <c r="I12" s="11" t="n">
        <f aca="false">$C12*4</f>
        <v>5460</v>
      </c>
      <c r="J12" s="11" t="n">
        <f aca="false">$C12*5</f>
        <v>6825</v>
      </c>
      <c r="K12" s="11" t="n">
        <f aca="false">$C12*6</f>
        <v>8190</v>
      </c>
      <c r="L12" s="11" t="n">
        <f aca="false">$C12*7</f>
        <v>9555</v>
      </c>
      <c r="M12" s="11" t="n">
        <f aca="false">$C12*8</f>
        <v>10920</v>
      </c>
      <c r="N12" s="11" t="n">
        <f aca="false">$C12*9</f>
        <v>12285</v>
      </c>
      <c r="O12" s="11" t="n">
        <f aca="false">$C12*10</f>
        <v>13650</v>
      </c>
      <c r="P12" s="11" t="n">
        <f aca="false">$C12*11</f>
        <v>15015</v>
      </c>
      <c r="Q12" s="11" t="n">
        <f aca="false">$C12*12</f>
        <v>16380</v>
      </c>
      <c r="R12" s="11" t="n">
        <f aca="false">$C12*13</f>
        <v>17745</v>
      </c>
      <c r="S12" s="11" t="n">
        <f aca="false">$C12*14</f>
        <v>19110</v>
      </c>
      <c r="T12" s="11" t="n">
        <f aca="false">$C12*15</f>
        <v>20475</v>
      </c>
      <c r="U12" s="11" t="n">
        <f aca="false">$C12*16</f>
        <v>21840</v>
      </c>
      <c r="V12" s="11" t="n">
        <f aca="false">$C12*17</f>
        <v>23205</v>
      </c>
      <c r="W12" s="11" t="n">
        <f aca="false">$C12*18</f>
        <v>24570</v>
      </c>
      <c r="X12" s="11" t="n">
        <f aca="false">$C12*19</f>
        <v>25935</v>
      </c>
      <c r="Y12" s="11" t="n">
        <f aca="false">$C12*20</f>
        <v>27300</v>
      </c>
    </row>
    <row r="13" customFormat="false" ht="15" hidden="false" customHeight="false" outlineLevel="0" collapsed="false">
      <c r="A13" s="0" t="s">
        <v>328</v>
      </c>
      <c r="B13" s="0" t="s">
        <v>329</v>
      </c>
      <c r="C13" s="11" t="n">
        <v>1092</v>
      </c>
      <c r="D13" s="0" t="s">
        <v>312</v>
      </c>
      <c r="E13" s="0" t="n">
        <v>207</v>
      </c>
      <c r="F13" s="11" t="n">
        <f aca="false">$C13*1</f>
        <v>1092</v>
      </c>
      <c r="G13" s="11" t="n">
        <f aca="false">$C13*2</f>
        <v>2184</v>
      </c>
      <c r="H13" s="11" t="n">
        <f aca="false">$C13*3</f>
        <v>3276</v>
      </c>
      <c r="I13" s="11" t="n">
        <f aca="false">$C13*4</f>
        <v>4368</v>
      </c>
      <c r="J13" s="11" t="n">
        <f aca="false">$C13*5</f>
        <v>5460</v>
      </c>
      <c r="K13" s="11" t="n">
        <f aca="false">$C13*6</f>
        <v>6552</v>
      </c>
      <c r="L13" s="11" t="n">
        <f aca="false">$C13*7</f>
        <v>7644</v>
      </c>
      <c r="M13" s="11" t="n">
        <f aca="false">$C13*8</f>
        <v>8736</v>
      </c>
      <c r="N13" s="11" t="n">
        <f aca="false">$C13*9</f>
        <v>9828</v>
      </c>
      <c r="O13" s="11" t="n">
        <f aca="false">$C13*10</f>
        <v>10920</v>
      </c>
      <c r="P13" s="11" t="n">
        <f aca="false">$C13*11</f>
        <v>12012</v>
      </c>
      <c r="Q13" s="11" t="n">
        <f aca="false">$C13*12</f>
        <v>13104</v>
      </c>
      <c r="R13" s="11" t="n">
        <f aca="false">$C13*13</f>
        <v>14196</v>
      </c>
      <c r="S13" s="11" t="n">
        <f aca="false">$C13*14</f>
        <v>15288</v>
      </c>
      <c r="T13" s="11" t="n">
        <f aca="false">$C13*15</f>
        <v>16380</v>
      </c>
      <c r="U13" s="11" t="n">
        <f aca="false">$C13*16</f>
        <v>17472</v>
      </c>
      <c r="V13" s="11" t="n">
        <f aca="false">$C13*17</f>
        <v>18564</v>
      </c>
      <c r="W13" s="11" t="n">
        <f aca="false">$C13*18</f>
        <v>19656</v>
      </c>
      <c r="X13" s="11" t="n">
        <f aca="false">$C13*19</f>
        <v>20748</v>
      </c>
      <c r="Y13" s="11" t="n">
        <f aca="false">$C13*20</f>
        <v>21840</v>
      </c>
    </row>
    <row r="14" customFormat="false" ht="15" hidden="false" customHeight="false" outlineLevel="0" collapsed="false">
      <c r="A14" s="0" t="s">
        <v>330</v>
      </c>
      <c r="B14" s="0" t="s">
        <v>331</v>
      </c>
      <c r="C14" s="11" t="n">
        <v>3053</v>
      </c>
      <c r="D14" s="0" t="s">
        <v>318</v>
      </c>
      <c r="E14" s="0" t="n">
        <v>1360</v>
      </c>
      <c r="F14" s="11" t="n">
        <f aca="false">$C14*1</f>
        <v>3053</v>
      </c>
      <c r="G14" s="11" t="n">
        <f aca="false">$C14*2</f>
        <v>6106</v>
      </c>
      <c r="H14" s="11" t="n">
        <f aca="false">$C14*3</f>
        <v>9159</v>
      </c>
      <c r="I14" s="11" t="n">
        <f aca="false">$C14*4</f>
        <v>12212</v>
      </c>
      <c r="J14" s="11" t="n">
        <f aca="false">$C14*5</f>
        <v>15265</v>
      </c>
      <c r="K14" s="11" t="n">
        <f aca="false">$C14*6</f>
        <v>18318</v>
      </c>
      <c r="L14" s="11" t="n">
        <f aca="false">$C14*7</f>
        <v>21371</v>
      </c>
      <c r="M14" s="11" t="n">
        <f aca="false">$C14*8</f>
        <v>24424</v>
      </c>
      <c r="N14" s="11" t="n">
        <f aca="false">$C14*9</f>
        <v>27477</v>
      </c>
      <c r="O14" s="11" t="n">
        <f aca="false">$C14*10</f>
        <v>30530</v>
      </c>
      <c r="P14" s="11" t="n">
        <f aca="false">$C14*11</f>
        <v>33583</v>
      </c>
      <c r="Q14" s="11" t="n">
        <f aca="false">$C14*12</f>
        <v>36636</v>
      </c>
      <c r="R14" s="11" t="n">
        <f aca="false">$C14*13</f>
        <v>39689</v>
      </c>
      <c r="S14" s="11" t="n">
        <f aca="false">$C14*14</f>
        <v>42742</v>
      </c>
      <c r="T14" s="11" t="n">
        <f aca="false">$C14*15</f>
        <v>45795</v>
      </c>
      <c r="U14" s="11" t="n">
        <f aca="false">$C14*16</f>
        <v>48848</v>
      </c>
      <c r="V14" s="11" t="n">
        <f aca="false">$C14*17</f>
        <v>51901</v>
      </c>
      <c r="W14" s="11" t="n">
        <f aca="false">$C14*18</f>
        <v>54954</v>
      </c>
      <c r="X14" s="11" t="n">
        <f aca="false">$C14*19</f>
        <v>58007</v>
      </c>
      <c r="Y14" s="11" t="n">
        <f aca="false">$C14*20</f>
        <v>61060</v>
      </c>
    </row>
    <row r="15" customFormat="false" ht="15" hidden="false" customHeight="false" outlineLevel="0" collapsed="false">
      <c r="A15" s="0" t="s">
        <v>332</v>
      </c>
      <c r="B15" s="0" t="s">
        <v>333</v>
      </c>
      <c r="C15" s="11" t="n">
        <v>645</v>
      </c>
      <c r="D15" s="0" t="s">
        <v>334</v>
      </c>
      <c r="E15" s="0" t="n">
        <v>69</v>
      </c>
      <c r="F15" s="11" t="n">
        <f aca="false">$C15*1</f>
        <v>645</v>
      </c>
      <c r="G15" s="11" t="n">
        <f aca="false">$C15*2</f>
        <v>1290</v>
      </c>
      <c r="H15" s="11" t="n">
        <f aca="false">$C15*3</f>
        <v>1935</v>
      </c>
      <c r="I15" s="11" t="n">
        <f aca="false">$C15*4</f>
        <v>2580</v>
      </c>
      <c r="J15" s="11" t="n">
        <f aca="false">$C15*5</f>
        <v>3225</v>
      </c>
      <c r="K15" s="11" t="n">
        <f aca="false">$C15*6</f>
        <v>3870</v>
      </c>
      <c r="L15" s="11" t="n">
        <f aca="false">$C15*7</f>
        <v>4515</v>
      </c>
      <c r="M15" s="11" t="n">
        <f aca="false">$C15*8</f>
        <v>5160</v>
      </c>
      <c r="N15" s="11" t="n">
        <f aca="false">$C15*9</f>
        <v>5805</v>
      </c>
      <c r="O15" s="11" t="n">
        <f aca="false">$C15*10</f>
        <v>6450</v>
      </c>
      <c r="P15" s="11" t="n">
        <f aca="false">$C15*11</f>
        <v>7095</v>
      </c>
      <c r="Q15" s="11" t="n">
        <f aca="false">$C15*12</f>
        <v>7740</v>
      </c>
      <c r="R15" s="11" t="n">
        <f aca="false">$C15*13</f>
        <v>8385</v>
      </c>
      <c r="S15" s="11" t="n">
        <f aca="false">$C15*14</f>
        <v>9030</v>
      </c>
      <c r="T15" s="11" t="n">
        <f aca="false">$C15*15</f>
        <v>9675</v>
      </c>
      <c r="U15" s="11" t="n">
        <f aca="false">$C15*16</f>
        <v>10320</v>
      </c>
      <c r="V15" s="11" t="n">
        <f aca="false">$C15*17</f>
        <v>10965</v>
      </c>
      <c r="W15" s="11" t="n">
        <f aca="false">$C15*18</f>
        <v>11610</v>
      </c>
      <c r="X15" s="11" t="n">
        <f aca="false">$C15*19</f>
        <v>12255</v>
      </c>
      <c r="Y15" s="11" t="n">
        <f aca="false">$C15*20</f>
        <v>12900</v>
      </c>
    </row>
    <row r="16" customFormat="false" ht="15" hidden="false" customHeight="false" outlineLevel="0" collapsed="false">
      <c r="A16" s="0" t="s">
        <v>335</v>
      </c>
      <c r="B16" s="0" t="s">
        <v>336</v>
      </c>
      <c r="C16" s="11" t="n">
        <v>1274</v>
      </c>
      <c r="D16" s="0" t="s">
        <v>312</v>
      </c>
      <c r="E16" s="0" t="n">
        <v>2655</v>
      </c>
      <c r="F16" s="11" t="n">
        <f aca="false">$C16*1</f>
        <v>1274</v>
      </c>
      <c r="G16" s="11" t="n">
        <f aca="false">$C16*2</f>
        <v>2548</v>
      </c>
      <c r="H16" s="11" t="n">
        <f aca="false">$C16*3</f>
        <v>3822</v>
      </c>
      <c r="I16" s="11" t="n">
        <f aca="false">$C16*4</f>
        <v>5096</v>
      </c>
      <c r="J16" s="11" t="n">
        <f aca="false">$C16*5</f>
        <v>6370</v>
      </c>
      <c r="K16" s="11" t="n">
        <f aca="false">$C16*6</f>
        <v>7644</v>
      </c>
      <c r="L16" s="11" t="n">
        <f aca="false">$C16*7</f>
        <v>8918</v>
      </c>
      <c r="M16" s="11" t="n">
        <f aca="false">$C16*8</f>
        <v>10192</v>
      </c>
      <c r="N16" s="11" t="n">
        <f aca="false">$C16*9</f>
        <v>11466</v>
      </c>
      <c r="O16" s="11" t="n">
        <f aca="false">$C16*10</f>
        <v>12740</v>
      </c>
      <c r="P16" s="11" t="n">
        <f aca="false">$C16*11</f>
        <v>14014</v>
      </c>
      <c r="Q16" s="11" t="n">
        <f aca="false">$C16*12</f>
        <v>15288</v>
      </c>
      <c r="R16" s="11" t="n">
        <f aca="false">$C16*13</f>
        <v>16562</v>
      </c>
      <c r="S16" s="11" t="n">
        <f aca="false">$C16*14</f>
        <v>17836</v>
      </c>
      <c r="T16" s="11" t="n">
        <f aca="false">$C16*15</f>
        <v>19110</v>
      </c>
      <c r="U16" s="11" t="n">
        <f aca="false">$C16*16</f>
        <v>20384</v>
      </c>
      <c r="V16" s="11" t="n">
        <f aca="false">$C16*17</f>
        <v>21658</v>
      </c>
      <c r="W16" s="11" t="n">
        <f aca="false">$C16*18</f>
        <v>22932</v>
      </c>
      <c r="X16" s="11" t="n">
        <f aca="false">$C16*19</f>
        <v>24206</v>
      </c>
      <c r="Y16" s="11" t="n">
        <f aca="false">$C16*20</f>
        <v>25480</v>
      </c>
    </row>
    <row r="17" customFormat="false" ht="15" hidden="false" customHeight="false" outlineLevel="0" collapsed="false">
      <c r="A17" s="0" t="s">
        <v>337</v>
      </c>
      <c r="B17" s="0" t="s">
        <v>338</v>
      </c>
      <c r="C17" s="11" t="n">
        <v>907</v>
      </c>
      <c r="D17" s="0" t="s">
        <v>312</v>
      </c>
      <c r="E17" s="0" t="n">
        <v>360</v>
      </c>
      <c r="F17" s="11" t="n">
        <f aca="false">$C17*1</f>
        <v>907</v>
      </c>
      <c r="G17" s="11" t="n">
        <f aca="false">$C17*2</f>
        <v>1814</v>
      </c>
      <c r="H17" s="11" t="n">
        <f aca="false">$C17*3</f>
        <v>2721</v>
      </c>
      <c r="I17" s="11" t="n">
        <f aca="false">$C17*4</f>
        <v>3628</v>
      </c>
      <c r="J17" s="11" t="n">
        <f aca="false">$C17*5</f>
        <v>4535</v>
      </c>
      <c r="K17" s="11" t="n">
        <f aca="false">$C17*6</f>
        <v>5442</v>
      </c>
      <c r="L17" s="11" t="n">
        <f aca="false">$C17*7</f>
        <v>6349</v>
      </c>
      <c r="M17" s="11" t="n">
        <f aca="false">$C17*8</f>
        <v>7256</v>
      </c>
      <c r="N17" s="11" t="n">
        <f aca="false">$C17*9</f>
        <v>8163</v>
      </c>
      <c r="O17" s="11" t="n">
        <f aca="false">$C17*10</f>
        <v>9070</v>
      </c>
      <c r="P17" s="11" t="n">
        <f aca="false">$C17*11</f>
        <v>9977</v>
      </c>
      <c r="Q17" s="11" t="n">
        <f aca="false">$C17*12</f>
        <v>10884</v>
      </c>
      <c r="R17" s="11" t="n">
        <f aca="false">$C17*13</f>
        <v>11791</v>
      </c>
      <c r="S17" s="11" t="n">
        <f aca="false">$C17*14</f>
        <v>12698</v>
      </c>
      <c r="T17" s="11" t="n">
        <f aca="false">$C17*15</f>
        <v>13605</v>
      </c>
      <c r="U17" s="11" t="n">
        <f aca="false">$C17*16</f>
        <v>14512</v>
      </c>
      <c r="V17" s="11" t="n">
        <f aca="false">$C17*17</f>
        <v>15419</v>
      </c>
      <c r="W17" s="11" t="n">
        <f aca="false">$C17*18</f>
        <v>16326</v>
      </c>
      <c r="X17" s="11" t="n">
        <f aca="false">$C17*19</f>
        <v>17233</v>
      </c>
      <c r="Y17" s="11" t="n">
        <f aca="false">$C17*20</f>
        <v>18140</v>
      </c>
    </row>
    <row r="18" customFormat="false" ht="15" hidden="false" customHeight="false" outlineLevel="0" collapsed="false">
      <c r="A18" s="0" t="s">
        <v>339</v>
      </c>
      <c r="B18" s="0" t="s">
        <v>340</v>
      </c>
      <c r="C18" s="11" t="n">
        <v>2276</v>
      </c>
      <c r="D18" s="0" t="s">
        <v>318</v>
      </c>
      <c r="E18" s="0" t="n">
        <v>1675</v>
      </c>
      <c r="F18" s="11" t="n">
        <f aca="false">$C18*1</f>
        <v>2276</v>
      </c>
      <c r="G18" s="11" t="n">
        <f aca="false">$C18*2</f>
        <v>4552</v>
      </c>
      <c r="H18" s="11" t="n">
        <f aca="false">$C18*3</f>
        <v>6828</v>
      </c>
      <c r="I18" s="11" t="n">
        <f aca="false">$C18*4</f>
        <v>9104</v>
      </c>
      <c r="J18" s="11" t="n">
        <f aca="false">$C18*5</f>
        <v>11380</v>
      </c>
      <c r="K18" s="11" t="n">
        <f aca="false">$C18*6</f>
        <v>13656</v>
      </c>
      <c r="L18" s="11" t="n">
        <f aca="false">$C18*7</f>
        <v>15932</v>
      </c>
      <c r="M18" s="11" t="n">
        <f aca="false">$C18*8</f>
        <v>18208</v>
      </c>
      <c r="N18" s="11" t="n">
        <f aca="false">$C18*9</f>
        <v>20484</v>
      </c>
      <c r="O18" s="11" t="n">
        <f aca="false">$C18*10</f>
        <v>22760</v>
      </c>
      <c r="P18" s="11" t="n">
        <f aca="false">$C18*11</f>
        <v>25036</v>
      </c>
      <c r="Q18" s="11" t="n">
        <f aca="false">$C18*12</f>
        <v>27312</v>
      </c>
      <c r="R18" s="11" t="n">
        <f aca="false">$C18*13</f>
        <v>29588</v>
      </c>
      <c r="S18" s="11" t="n">
        <f aca="false">$C18*14</f>
        <v>31864</v>
      </c>
      <c r="T18" s="11" t="n">
        <f aca="false">$C18*15</f>
        <v>34140</v>
      </c>
      <c r="U18" s="11" t="n">
        <f aca="false">$C18*16</f>
        <v>36416</v>
      </c>
      <c r="V18" s="11" t="n">
        <f aca="false">$C18*17</f>
        <v>38692</v>
      </c>
      <c r="W18" s="11" t="n">
        <f aca="false">$C18*18</f>
        <v>40968</v>
      </c>
      <c r="X18" s="11" t="n">
        <f aca="false">$C18*19</f>
        <v>43244</v>
      </c>
      <c r="Y18" s="11" t="n">
        <f aca="false">$C18*20</f>
        <v>45520</v>
      </c>
    </row>
    <row r="19" customFormat="false" ht="15" hidden="false" customHeight="false" outlineLevel="0" collapsed="false">
      <c r="A19" s="0" t="s">
        <v>341</v>
      </c>
      <c r="B19" s="0" t="s">
        <v>342</v>
      </c>
      <c r="C19" s="11" t="n">
        <v>1339</v>
      </c>
      <c r="D19" s="0" t="s">
        <v>318</v>
      </c>
      <c r="E19" s="0" t="n">
        <v>1342</v>
      </c>
      <c r="F19" s="11" t="n">
        <f aca="false">$C19*1</f>
        <v>1339</v>
      </c>
      <c r="G19" s="11" t="n">
        <f aca="false">$C19*2</f>
        <v>2678</v>
      </c>
      <c r="H19" s="11" t="n">
        <f aca="false">$C19*3</f>
        <v>4017</v>
      </c>
      <c r="I19" s="11" t="n">
        <f aca="false">$C19*4</f>
        <v>5356</v>
      </c>
      <c r="J19" s="11" t="n">
        <f aca="false">$C19*5</f>
        <v>6695</v>
      </c>
      <c r="K19" s="11" t="n">
        <f aca="false">$C19*6</f>
        <v>8034</v>
      </c>
      <c r="L19" s="11" t="n">
        <f aca="false">$C19*7</f>
        <v>9373</v>
      </c>
      <c r="M19" s="11" t="n">
        <f aca="false">$C19*8</f>
        <v>10712</v>
      </c>
      <c r="N19" s="11" t="n">
        <f aca="false">$C19*9</f>
        <v>12051</v>
      </c>
      <c r="O19" s="11" t="n">
        <f aca="false">$C19*10</f>
        <v>13390</v>
      </c>
      <c r="P19" s="11" t="n">
        <f aca="false">$C19*11</f>
        <v>14729</v>
      </c>
      <c r="Q19" s="11" t="n">
        <f aca="false">$C19*12</f>
        <v>16068</v>
      </c>
      <c r="R19" s="11" t="n">
        <f aca="false">$C19*13</f>
        <v>17407</v>
      </c>
      <c r="S19" s="11" t="n">
        <f aca="false">$C19*14</f>
        <v>18746</v>
      </c>
      <c r="T19" s="11" t="n">
        <f aca="false">$C19*15</f>
        <v>20085</v>
      </c>
      <c r="U19" s="11" t="n">
        <f aca="false">$C19*16</f>
        <v>21424</v>
      </c>
      <c r="V19" s="11" t="n">
        <f aca="false">$C19*17</f>
        <v>22763</v>
      </c>
      <c r="W19" s="11" t="n">
        <f aca="false">$C19*18</f>
        <v>24102</v>
      </c>
      <c r="X19" s="11" t="n">
        <f aca="false">$C19*19</f>
        <v>25441</v>
      </c>
      <c r="Y19" s="11" t="n">
        <f aca="false">$C19*20</f>
        <v>26780</v>
      </c>
    </row>
    <row r="20" customFormat="false" ht="15" hidden="false" customHeight="false" outlineLevel="0" collapsed="false">
      <c r="A20" s="0" t="s">
        <v>343</v>
      </c>
      <c r="B20" s="0" t="s">
        <v>344</v>
      </c>
      <c r="C20" s="11" t="n">
        <v>1508</v>
      </c>
      <c r="D20" s="0" t="s">
        <v>312</v>
      </c>
      <c r="E20" s="0" t="n">
        <v>957</v>
      </c>
      <c r="F20" s="11" t="n">
        <f aca="false">$C20*1</f>
        <v>1508</v>
      </c>
      <c r="G20" s="11" t="n">
        <f aca="false">$C20*2</f>
        <v>3016</v>
      </c>
      <c r="H20" s="11" t="n">
        <f aca="false">$C20*3</f>
        <v>4524</v>
      </c>
      <c r="I20" s="11" t="n">
        <f aca="false">$C20*4</f>
        <v>6032</v>
      </c>
      <c r="J20" s="11" t="n">
        <f aca="false">$C20*5</f>
        <v>7540</v>
      </c>
      <c r="K20" s="11" t="n">
        <f aca="false">$C20*6</f>
        <v>9048</v>
      </c>
      <c r="L20" s="11" t="n">
        <f aca="false">$C20*7</f>
        <v>10556</v>
      </c>
      <c r="M20" s="11" t="n">
        <f aca="false">$C20*8</f>
        <v>12064</v>
      </c>
      <c r="N20" s="11" t="n">
        <f aca="false">$C20*9</f>
        <v>13572</v>
      </c>
      <c r="O20" s="11" t="n">
        <f aca="false">$C20*10</f>
        <v>15080</v>
      </c>
      <c r="P20" s="11" t="n">
        <f aca="false">$C20*11</f>
        <v>16588</v>
      </c>
      <c r="Q20" s="11" t="n">
        <f aca="false">$C20*12</f>
        <v>18096</v>
      </c>
      <c r="R20" s="11" t="n">
        <f aca="false">$C20*13</f>
        <v>19604</v>
      </c>
      <c r="S20" s="11" t="n">
        <f aca="false">$C20*14</f>
        <v>21112</v>
      </c>
      <c r="T20" s="11" t="n">
        <f aca="false">$C20*15</f>
        <v>22620</v>
      </c>
      <c r="U20" s="11" t="n">
        <f aca="false">$C20*16</f>
        <v>24128</v>
      </c>
      <c r="V20" s="11" t="n">
        <f aca="false">$C20*17</f>
        <v>25636</v>
      </c>
      <c r="W20" s="11" t="n">
        <f aca="false">$C20*18</f>
        <v>27144</v>
      </c>
      <c r="X20" s="11" t="n">
        <f aca="false">$C20*19</f>
        <v>28652</v>
      </c>
      <c r="Y20" s="11" t="n">
        <f aca="false">$C20*20</f>
        <v>30160</v>
      </c>
    </row>
    <row r="21" customFormat="false" ht="15" hidden="false" customHeight="false" outlineLevel="0" collapsed="false">
      <c r="A21" s="0" t="s">
        <v>345</v>
      </c>
      <c r="B21" s="0" t="s">
        <v>346</v>
      </c>
      <c r="C21" s="11" t="n">
        <v>1427</v>
      </c>
      <c r="D21" s="0" t="s">
        <v>318</v>
      </c>
      <c r="E21" s="0" t="n">
        <v>1603</v>
      </c>
      <c r="F21" s="11" t="n">
        <f aca="false">$C21*1</f>
        <v>1427</v>
      </c>
      <c r="G21" s="11" t="n">
        <f aca="false">$C21*2</f>
        <v>2854</v>
      </c>
      <c r="H21" s="11" t="n">
        <f aca="false">$C21*3</f>
        <v>4281</v>
      </c>
      <c r="I21" s="11" t="n">
        <f aca="false">$C21*4</f>
        <v>5708</v>
      </c>
      <c r="J21" s="11" t="n">
        <f aca="false">$C21*5</f>
        <v>7135</v>
      </c>
      <c r="K21" s="11" t="n">
        <f aca="false">$C21*6</f>
        <v>8562</v>
      </c>
      <c r="L21" s="11" t="n">
        <f aca="false">$C21*7</f>
        <v>9989</v>
      </c>
      <c r="M21" s="11" t="n">
        <f aca="false">$C21*8</f>
        <v>11416</v>
      </c>
      <c r="N21" s="11" t="n">
        <f aca="false">$C21*9</f>
        <v>12843</v>
      </c>
      <c r="O21" s="11" t="n">
        <f aca="false">$C21*10</f>
        <v>14270</v>
      </c>
      <c r="P21" s="11" t="n">
        <f aca="false">$C21*11</f>
        <v>15697</v>
      </c>
      <c r="Q21" s="11" t="n">
        <f aca="false">$C21*12</f>
        <v>17124</v>
      </c>
      <c r="R21" s="11" t="n">
        <f aca="false">$C21*13</f>
        <v>18551</v>
      </c>
      <c r="S21" s="11" t="n">
        <f aca="false">$C21*14</f>
        <v>19978</v>
      </c>
      <c r="T21" s="11" t="n">
        <f aca="false">$C21*15</f>
        <v>21405</v>
      </c>
      <c r="U21" s="11" t="n">
        <f aca="false">$C21*16</f>
        <v>22832</v>
      </c>
      <c r="V21" s="11" t="n">
        <f aca="false">$C21*17</f>
        <v>24259</v>
      </c>
      <c r="W21" s="11" t="n">
        <f aca="false">$C21*18</f>
        <v>25686</v>
      </c>
      <c r="X21" s="11" t="n">
        <f aca="false">$C21*19</f>
        <v>27113</v>
      </c>
      <c r="Y21" s="11" t="n">
        <f aca="false">$C21*20</f>
        <v>28540</v>
      </c>
    </row>
    <row r="22" customFormat="false" ht="15" hidden="false" customHeight="false" outlineLevel="0" collapsed="false">
      <c r="A22" s="0" t="s">
        <v>347</v>
      </c>
      <c r="B22" s="0" t="s">
        <v>348</v>
      </c>
      <c r="C22" s="11" t="n">
        <v>844</v>
      </c>
      <c r="D22" s="0" t="s">
        <v>318</v>
      </c>
      <c r="E22" s="0" t="n">
        <v>494</v>
      </c>
      <c r="F22" s="11" t="n">
        <f aca="false">$C22*1</f>
        <v>844</v>
      </c>
      <c r="G22" s="11" t="n">
        <f aca="false">$C22*2</f>
        <v>1688</v>
      </c>
      <c r="H22" s="11" t="n">
        <f aca="false">$C22*3</f>
        <v>2532</v>
      </c>
      <c r="I22" s="11" t="n">
        <f aca="false">$C22*4</f>
        <v>3376</v>
      </c>
      <c r="J22" s="11" t="n">
        <f aca="false">$C22*5</f>
        <v>4220</v>
      </c>
      <c r="K22" s="11" t="n">
        <f aca="false">$C22*6</f>
        <v>5064</v>
      </c>
      <c r="L22" s="11" t="n">
        <f aca="false">$C22*7</f>
        <v>5908</v>
      </c>
      <c r="M22" s="11" t="n">
        <f aca="false">$C22*8</f>
        <v>6752</v>
      </c>
      <c r="N22" s="11" t="n">
        <f aca="false">$C22*9</f>
        <v>7596</v>
      </c>
      <c r="O22" s="11" t="n">
        <f aca="false">$C22*10</f>
        <v>8440</v>
      </c>
      <c r="P22" s="11" t="n">
        <f aca="false">$C22*11</f>
        <v>9284</v>
      </c>
      <c r="Q22" s="11" t="n">
        <f aca="false">$C22*12</f>
        <v>10128</v>
      </c>
      <c r="R22" s="11" t="n">
        <f aca="false">$C22*13</f>
        <v>10972</v>
      </c>
      <c r="S22" s="11" t="n">
        <f aca="false">$C22*14</f>
        <v>11816</v>
      </c>
      <c r="T22" s="11" t="n">
        <f aca="false">$C22*15</f>
        <v>12660</v>
      </c>
      <c r="U22" s="11" t="n">
        <f aca="false">$C22*16</f>
        <v>13504</v>
      </c>
      <c r="V22" s="11" t="n">
        <f aca="false">$C22*17</f>
        <v>14348</v>
      </c>
      <c r="W22" s="11" t="n">
        <f aca="false">$C22*18</f>
        <v>15192</v>
      </c>
      <c r="X22" s="11" t="n">
        <f aca="false">$C22*19</f>
        <v>16036</v>
      </c>
      <c r="Y22" s="11" t="n">
        <f aca="false">$C22*20</f>
        <v>16880</v>
      </c>
    </row>
    <row r="23" customFormat="false" ht="15" hidden="false" customHeight="false" outlineLevel="0" collapsed="false">
      <c r="A23" s="0" t="s">
        <v>349</v>
      </c>
      <c r="B23" s="0" t="s">
        <v>350</v>
      </c>
      <c r="C23" s="11" t="n">
        <v>879</v>
      </c>
      <c r="D23" s="0" t="s">
        <v>318</v>
      </c>
      <c r="E23" s="0" t="n">
        <v>1965</v>
      </c>
      <c r="F23" s="11" t="n">
        <f aca="false">$C23*1</f>
        <v>879</v>
      </c>
      <c r="G23" s="11" t="n">
        <f aca="false">$C23*2</f>
        <v>1758</v>
      </c>
      <c r="H23" s="11" t="n">
        <f aca="false">$C23*3</f>
        <v>2637</v>
      </c>
      <c r="I23" s="11" t="n">
        <f aca="false">$C23*4</f>
        <v>3516</v>
      </c>
      <c r="J23" s="11" t="n">
        <f aca="false">$C23*5</f>
        <v>4395</v>
      </c>
      <c r="K23" s="11" t="n">
        <f aca="false">$C23*6</f>
        <v>5274</v>
      </c>
      <c r="L23" s="11" t="n">
        <f aca="false">$C23*7</f>
        <v>6153</v>
      </c>
      <c r="M23" s="11" t="n">
        <f aca="false">$C23*8</f>
        <v>7032</v>
      </c>
      <c r="N23" s="11" t="n">
        <f aca="false">$C23*9</f>
        <v>7911</v>
      </c>
      <c r="O23" s="11" t="n">
        <f aca="false">$C23*10</f>
        <v>8790</v>
      </c>
      <c r="P23" s="11" t="n">
        <f aca="false">$C23*11</f>
        <v>9669</v>
      </c>
      <c r="Q23" s="11" t="n">
        <f aca="false">$C23*12</f>
        <v>10548</v>
      </c>
      <c r="R23" s="11" t="n">
        <f aca="false">$C23*13</f>
        <v>11427</v>
      </c>
      <c r="S23" s="11" t="n">
        <f aca="false">$C23*14</f>
        <v>12306</v>
      </c>
      <c r="T23" s="11" t="n">
        <f aca="false">$C23*15</f>
        <v>13185</v>
      </c>
      <c r="U23" s="11" t="n">
        <f aca="false">$C23*16</f>
        <v>14064</v>
      </c>
      <c r="V23" s="11" t="n">
        <f aca="false">$C23*17</f>
        <v>14943</v>
      </c>
      <c r="W23" s="11" t="n">
        <f aca="false">$C23*18</f>
        <v>15822</v>
      </c>
      <c r="X23" s="11" t="n">
        <f aca="false">$C23*19</f>
        <v>16701</v>
      </c>
      <c r="Y23" s="11" t="n">
        <f aca="false">$C23*20</f>
        <v>17580</v>
      </c>
    </row>
    <row r="24" customFormat="false" ht="15" hidden="false" customHeight="false" outlineLevel="0" collapsed="false">
      <c r="A24" s="0" t="s">
        <v>351</v>
      </c>
      <c r="B24" s="0" t="s">
        <v>352</v>
      </c>
      <c r="C24" s="11" t="n">
        <v>2566</v>
      </c>
      <c r="D24" s="0" t="s">
        <v>318</v>
      </c>
      <c r="E24" s="0" t="n">
        <v>1271</v>
      </c>
      <c r="F24" s="11" t="n">
        <f aca="false">$C24*1</f>
        <v>2566</v>
      </c>
      <c r="G24" s="11" t="n">
        <f aca="false">$C24*2</f>
        <v>5132</v>
      </c>
      <c r="H24" s="11" t="n">
        <f aca="false">$C24*3</f>
        <v>7698</v>
      </c>
      <c r="I24" s="11" t="n">
        <f aca="false">$C24*4</f>
        <v>10264</v>
      </c>
      <c r="J24" s="11" t="n">
        <f aca="false">$C24*5</f>
        <v>12830</v>
      </c>
      <c r="K24" s="11" t="n">
        <f aca="false">$C24*6</f>
        <v>15396</v>
      </c>
      <c r="L24" s="11" t="n">
        <f aca="false">$C24*7</f>
        <v>17962</v>
      </c>
      <c r="M24" s="11" t="n">
        <f aca="false">$C24*8</f>
        <v>20528</v>
      </c>
      <c r="N24" s="11" t="n">
        <f aca="false">$C24*9</f>
        <v>23094</v>
      </c>
      <c r="O24" s="11" t="n">
        <f aca="false">$C24*10</f>
        <v>25660</v>
      </c>
      <c r="P24" s="11" t="n">
        <f aca="false">$C24*11</f>
        <v>28226</v>
      </c>
      <c r="Q24" s="11" t="n">
        <f aca="false">$C24*12</f>
        <v>30792</v>
      </c>
      <c r="R24" s="11" t="n">
        <f aca="false">$C24*13</f>
        <v>33358</v>
      </c>
      <c r="S24" s="11" t="n">
        <f aca="false">$C24*14</f>
        <v>35924</v>
      </c>
      <c r="T24" s="11" t="n">
        <f aca="false">$C24*15</f>
        <v>38490</v>
      </c>
      <c r="U24" s="11" t="n">
        <f aca="false">$C24*16</f>
        <v>41056</v>
      </c>
      <c r="V24" s="11" t="n">
        <f aca="false">$C24*17</f>
        <v>43622</v>
      </c>
      <c r="W24" s="11" t="n">
        <f aca="false">$C24*18</f>
        <v>46188</v>
      </c>
      <c r="X24" s="11" t="n">
        <f aca="false">$C24*19</f>
        <v>48754</v>
      </c>
      <c r="Y24" s="11" t="n">
        <f aca="false">$C24*20</f>
        <v>51320</v>
      </c>
    </row>
    <row r="25" customFormat="false" ht="15" hidden="false" customHeight="false" outlineLevel="0" collapsed="false">
      <c r="A25" s="0" t="s">
        <v>335</v>
      </c>
      <c r="B25" s="0" t="s">
        <v>336</v>
      </c>
      <c r="C25" s="11" t="n">
        <v>1274</v>
      </c>
      <c r="D25" s="0" t="s">
        <v>312</v>
      </c>
      <c r="E25" s="0" t="n">
        <v>2655</v>
      </c>
      <c r="F25" s="11" t="n">
        <f aca="false">$C25*1</f>
        <v>1274</v>
      </c>
      <c r="G25" s="11" t="n">
        <f aca="false">$C25*2</f>
        <v>2548</v>
      </c>
      <c r="H25" s="11" t="n">
        <f aca="false">$C25*3</f>
        <v>3822</v>
      </c>
      <c r="I25" s="11" t="n">
        <f aca="false">$C25*4</f>
        <v>5096</v>
      </c>
      <c r="J25" s="11" t="n">
        <f aca="false">$C25*5</f>
        <v>6370</v>
      </c>
      <c r="K25" s="11" t="n">
        <f aca="false">$C25*6</f>
        <v>7644</v>
      </c>
      <c r="L25" s="11" t="n">
        <f aca="false">$C25*7</f>
        <v>8918</v>
      </c>
      <c r="M25" s="11" t="n">
        <f aca="false">$C25*8</f>
        <v>10192</v>
      </c>
      <c r="N25" s="11" t="n">
        <f aca="false">$C25*9</f>
        <v>11466</v>
      </c>
      <c r="O25" s="11" t="n">
        <f aca="false">$C25*10</f>
        <v>12740</v>
      </c>
      <c r="P25" s="11" t="n">
        <f aca="false">$C25*11</f>
        <v>14014</v>
      </c>
      <c r="Q25" s="11" t="n">
        <f aca="false">$C25*12</f>
        <v>15288</v>
      </c>
      <c r="R25" s="11" t="n">
        <f aca="false">$C25*13</f>
        <v>16562</v>
      </c>
      <c r="S25" s="11" t="n">
        <f aca="false">$C25*14</f>
        <v>17836</v>
      </c>
      <c r="T25" s="11" t="n">
        <f aca="false">$C25*15</f>
        <v>19110</v>
      </c>
      <c r="U25" s="11" t="n">
        <f aca="false">$C25*16</f>
        <v>20384</v>
      </c>
      <c r="V25" s="11" t="n">
        <f aca="false">$C25*17</f>
        <v>21658</v>
      </c>
      <c r="W25" s="11" t="n">
        <f aca="false">$C25*18</f>
        <v>22932</v>
      </c>
      <c r="X25" s="11" t="n">
        <f aca="false">$C25*19</f>
        <v>24206</v>
      </c>
      <c r="Y25" s="11" t="n">
        <f aca="false">$C25*20</f>
        <v>25480</v>
      </c>
    </row>
    <row r="26" customFormat="false" ht="15" hidden="false" customHeight="false" outlineLevel="0" collapsed="false">
      <c r="A26" s="0" t="s">
        <v>353</v>
      </c>
      <c r="B26" s="0" t="s">
        <v>354</v>
      </c>
      <c r="C26" s="11" t="n">
        <v>1175</v>
      </c>
      <c r="D26" s="0" t="s">
        <v>312</v>
      </c>
      <c r="E26" s="0" t="n">
        <v>644</v>
      </c>
      <c r="F26" s="11" t="n">
        <f aca="false">$C26*1</f>
        <v>1175</v>
      </c>
      <c r="G26" s="11" t="n">
        <f aca="false">$C26*2</f>
        <v>2350</v>
      </c>
      <c r="H26" s="11" t="n">
        <f aca="false">$C26*3</f>
        <v>3525</v>
      </c>
      <c r="I26" s="11" t="n">
        <f aca="false">$C26*4</f>
        <v>4700</v>
      </c>
      <c r="J26" s="11" t="n">
        <f aca="false">$C26*5</f>
        <v>5875</v>
      </c>
      <c r="K26" s="11" t="n">
        <f aca="false">$C26*6</f>
        <v>7050</v>
      </c>
      <c r="L26" s="11" t="n">
        <f aca="false">$C26*7</f>
        <v>8225</v>
      </c>
      <c r="M26" s="11" t="n">
        <f aca="false">$C26*8</f>
        <v>9400</v>
      </c>
      <c r="N26" s="11" t="n">
        <f aca="false">$C26*9</f>
        <v>10575</v>
      </c>
      <c r="O26" s="11" t="n">
        <f aca="false">$C26*10</f>
        <v>11750</v>
      </c>
      <c r="P26" s="11" t="n">
        <f aca="false">$C26*11</f>
        <v>12925</v>
      </c>
      <c r="Q26" s="11" t="n">
        <f aca="false">$C26*12</f>
        <v>14100</v>
      </c>
      <c r="R26" s="11" t="n">
        <f aca="false">$C26*13</f>
        <v>15275</v>
      </c>
      <c r="S26" s="11" t="n">
        <f aca="false">$C26*14</f>
        <v>16450</v>
      </c>
      <c r="T26" s="11" t="n">
        <f aca="false">$C26*15</f>
        <v>17625</v>
      </c>
      <c r="U26" s="11" t="n">
        <f aca="false">$C26*16</f>
        <v>18800</v>
      </c>
      <c r="V26" s="11" t="n">
        <f aca="false">$C26*17</f>
        <v>19975</v>
      </c>
      <c r="W26" s="11" t="n">
        <f aca="false">$C26*18</f>
        <v>21150</v>
      </c>
      <c r="X26" s="11" t="n">
        <f aca="false">$C26*19</f>
        <v>22325</v>
      </c>
      <c r="Y26" s="11" t="n">
        <f aca="false">$C26*20</f>
        <v>23500</v>
      </c>
    </row>
    <row r="27" customFormat="false" ht="15" hidden="false" customHeight="false" outlineLevel="0" collapsed="false">
      <c r="A27" s="0" t="s">
        <v>345</v>
      </c>
      <c r="B27" s="0" t="s">
        <v>346</v>
      </c>
      <c r="C27" s="11" t="n">
        <v>1427</v>
      </c>
      <c r="D27" s="0" t="s">
        <v>318</v>
      </c>
      <c r="E27" s="0" t="n">
        <v>1603</v>
      </c>
      <c r="F27" s="11" t="n">
        <f aca="false">$C27*1</f>
        <v>1427</v>
      </c>
      <c r="G27" s="11" t="n">
        <f aca="false">$C27*2</f>
        <v>2854</v>
      </c>
      <c r="H27" s="11" t="n">
        <f aca="false">$C27*3</f>
        <v>4281</v>
      </c>
      <c r="I27" s="11" t="n">
        <f aca="false">$C27*4</f>
        <v>5708</v>
      </c>
      <c r="J27" s="11" t="n">
        <f aca="false">$C27*5</f>
        <v>7135</v>
      </c>
      <c r="K27" s="11" t="n">
        <f aca="false">$C27*6</f>
        <v>8562</v>
      </c>
      <c r="L27" s="11" t="n">
        <f aca="false">$C27*7</f>
        <v>9989</v>
      </c>
      <c r="M27" s="11" t="n">
        <f aca="false">$C27*8</f>
        <v>11416</v>
      </c>
      <c r="N27" s="11" t="n">
        <f aca="false">$C27*9</f>
        <v>12843</v>
      </c>
      <c r="O27" s="11" t="n">
        <f aca="false">$C27*10</f>
        <v>14270</v>
      </c>
      <c r="P27" s="11" t="n">
        <f aca="false">$C27*11</f>
        <v>15697</v>
      </c>
      <c r="Q27" s="11" t="n">
        <f aca="false">$C27*12</f>
        <v>17124</v>
      </c>
      <c r="R27" s="11" t="n">
        <f aca="false">$C27*13</f>
        <v>18551</v>
      </c>
      <c r="S27" s="11" t="n">
        <f aca="false">$C27*14</f>
        <v>19978</v>
      </c>
      <c r="T27" s="11" t="n">
        <f aca="false">$C27*15</f>
        <v>21405</v>
      </c>
      <c r="U27" s="11" t="n">
        <f aca="false">$C27*16</f>
        <v>22832</v>
      </c>
      <c r="V27" s="11" t="n">
        <f aca="false">$C27*17</f>
        <v>24259</v>
      </c>
      <c r="W27" s="11" t="n">
        <f aca="false">$C27*18</f>
        <v>25686</v>
      </c>
      <c r="X27" s="11" t="n">
        <f aca="false">$C27*19</f>
        <v>27113</v>
      </c>
      <c r="Y27" s="11" t="n">
        <f aca="false">$C27*20</f>
        <v>28540</v>
      </c>
    </row>
    <row r="28" customFormat="false" ht="15" hidden="false" customHeight="false" outlineLevel="0" collapsed="false">
      <c r="A28" s="0" t="s">
        <v>328</v>
      </c>
      <c r="B28" s="0" t="s">
        <v>329</v>
      </c>
      <c r="C28" s="11" t="n">
        <v>1092</v>
      </c>
      <c r="D28" s="0" t="s">
        <v>312</v>
      </c>
      <c r="E28" s="0" t="n">
        <v>207</v>
      </c>
      <c r="F28" s="11" t="n">
        <f aca="false">$C28*1</f>
        <v>1092</v>
      </c>
      <c r="G28" s="11" t="n">
        <f aca="false">$C28*2</f>
        <v>2184</v>
      </c>
      <c r="H28" s="11" t="n">
        <f aca="false">$C28*3</f>
        <v>3276</v>
      </c>
      <c r="I28" s="11" t="n">
        <f aca="false">$C28*4</f>
        <v>4368</v>
      </c>
      <c r="J28" s="11" t="n">
        <f aca="false">$C28*5</f>
        <v>5460</v>
      </c>
      <c r="K28" s="11" t="n">
        <f aca="false">$C28*6</f>
        <v>6552</v>
      </c>
      <c r="L28" s="11" t="n">
        <f aca="false">$C28*7</f>
        <v>7644</v>
      </c>
      <c r="M28" s="11" t="n">
        <f aca="false">$C28*8</f>
        <v>8736</v>
      </c>
      <c r="N28" s="11" t="n">
        <f aca="false">$C28*9</f>
        <v>9828</v>
      </c>
      <c r="O28" s="11" t="n">
        <f aca="false">$C28*10</f>
        <v>10920</v>
      </c>
      <c r="P28" s="11" t="n">
        <f aca="false">$C28*11</f>
        <v>12012</v>
      </c>
      <c r="Q28" s="11" t="n">
        <f aca="false">$C28*12</f>
        <v>13104</v>
      </c>
      <c r="R28" s="11" t="n">
        <f aca="false">$C28*13</f>
        <v>14196</v>
      </c>
      <c r="S28" s="11" t="n">
        <f aca="false">$C28*14</f>
        <v>15288</v>
      </c>
      <c r="T28" s="11" t="n">
        <f aca="false">$C28*15</f>
        <v>16380</v>
      </c>
      <c r="U28" s="11" t="n">
        <f aca="false">$C28*16</f>
        <v>17472</v>
      </c>
      <c r="V28" s="11" t="n">
        <f aca="false">$C28*17</f>
        <v>18564</v>
      </c>
      <c r="W28" s="11" t="n">
        <f aca="false">$C28*18</f>
        <v>19656</v>
      </c>
      <c r="X28" s="11" t="n">
        <f aca="false">$C28*19</f>
        <v>20748</v>
      </c>
      <c r="Y28" s="11" t="n">
        <f aca="false">$C28*20</f>
        <v>21840</v>
      </c>
    </row>
    <row r="29" customFormat="false" ht="15" hidden="false" customHeight="false" outlineLevel="0" collapsed="false">
      <c r="A29" s="0" t="s">
        <v>355</v>
      </c>
      <c r="B29" s="0" t="s">
        <v>356</v>
      </c>
      <c r="C29" s="11" t="n">
        <v>1338</v>
      </c>
      <c r="D29" s="0" t="s">
        <v>309</v>
      </c>
      <c r="E29" s="0" t="n">
        <v>1682</v>
      </c>
      <c r="F29" s="11" t="n">
        <f aca="false">$C29*1</f>
        <v>1338</v>
      </c>
      <c r="G29" s="11" t="n">
        <f aca="false">$C29*2</f>
        <v>2676</v>
      </c>
      <c r="H29" s="11" t="n">
        <f aca="false">$C29*3</f>
        <v>4014</v>
      </c>
      <c r="I29" s="11" t="n">
        <f aca="false">$C29*4</f>
        <v>5352</v>
      </c>
      <c r="J29" s="11" t="n">
        <f aca="false">$C29*5</f>
        <v>6690</v>
      </c>
      <c r="K29" s="11" t="n">
        <f aca="false">$C29*6</f>
        <v>8028</v>
      </c>
      <c r="L29" s="11" t="n">
        <f aca="false">$C29*7</f>
        <v>9366</v>
      </c>
      <c r="M29" s="11" t="n">
        <f aca="false">$C29*8</f>
        <v>10704</v>
      </c>
      <c r="N29" s="11" t="n">
        <f aca="false">$C29*9</f>
        <v>12042</v>
      </c>
      <c r="O29" s="11" t="n">
        <f aca="false">$C29*10</f>
        <v>13380</v>
      </c>
      <c r="P29" s="11" t="n">
        <f aca="false">$C29*11</f>
        <v>14718</v>
      </c>
      <c r="Q29" s="11" t="n">
        <f aca="false">$C29*12</f>
        <v>16056</v>
      </c>
      <c r="R29" s="11" t="n">
        <f aca="false">$C29*13</f>
        <v>17394</v>
      </c>
      <c r="S29" s="11" t="n">
        <f aca="false">$C29*14</f>
        <v>18732</v>
      </c>
      <c r="T29" s="11" t="n">
        <f aca="false">$C29*15</f>
        <v>20070</v>
      </c>
      <c r="U29" s="11" t="n">
        <f aca="false">$C29*16</f>
        <v>21408</v>
      </c>
      <c r="V29" s="11" t="n">
        <f aca="false">$C29*17</f>
        <v>22746</v>
      </c>
      <c r="W29" s="11" t="n">
        <f aca="false">$C29*18</f>
        <v>24084</v>
      </c>
      <c r="X29" s="11" t="n">
        <f aca="false">$C29*19</f>
        <v>25422</v>
      </c>
      <c r="Y29" s="11" t="n">
        <f aca="false">$C29*20</f>
        <v>26760</v>
      </c>
    </row>
    <row r="30" customFormat="false" ht="15" hidden="false" customHeight="false" outlineLevel="0" collapsed="false">
      <c r="A30" s="0" t="s">
        <v>357</v>
      </c>
      <c r="B30" s="0" t="s">
        <v>358</v>
      </c>
      <c r="C30" s="11" t="n">
        <v>1357</v>
      </c>
      <c r="D30" s="0" t="s">
        <v>318</v>
      </c>
      <c r="E30" s="0" t="n">
        <v>60</v>
      </c>
      <c r="F30" s="11" t="n">
        <f aca="false">$C30*1</f>
        <v>1357</v>
      </c>
      <c r="G30" s="11" t="n">
        <f aca="false">$C30*2</f>
        <v>2714</v>
      </c>
      <c r="H30" s="11" t="n">
        <f aca="false">$C30*3</f>
        <v>4071</v>
      </c>
      <c r="I30" s="11" t="n">
        <f aca="false">$C30*4</f>
        <v>5428</v>
      </c>
      <c r="J30" s="11" t="n">
        <f aca="false">$C30*5</f>
        <v>6785</v>
      </c>
      <c r="K30" s="11" t="n">
        <f aca="false">$C30*6</f>
        <v>8142</v>
      </c>
      <c r="L30" s="11" t="n">
        <f aca="false">$C30*7</f>
        <v>9499</v>
      </c>
      <c r="M30" s="11" t="n">
        <f aca="false">$C30*8</f>
        <v>10856</v>
      </c>
      <c r="N30" s="11" t="n">
        <f aca="false">$C30*9</f>
        <v>12213</v>
      </c>
      <c r="O30" s="11" t="n">
        <f aca="false">$C30*10</f>
        <v>13570</v>
      </c>
      <c r="P30" s="11" t="n">
        <f aca="false">$C30*11</f>
        <v>14927</v>
      </c>
      <c r="Q30" s="11" t="n">
        <f aca="false">$C30*12</f>
        <v>16284</v>
      </c>
      <c r="R30" s="11" t="n">
        <f aca="false">$C30*13</f>
        <v>17641</v>
      </c>
      <c r="S30" s="11" t="n">
        <f aca="false">$C30*14</f>
        <v>18998</v>
      </c>
      <c r="T30" s="11" t="n">
        <f aca="false">$C30*15</f>
        <v>20355</v>
      </c>
      <c r="U30" s="11" t="n">
        <f aca="false">$C30*16</f>
        <v>21712</v>
      </c>
      <c r="V30" s="11" t="n">
        <f aca="false">$C30*17</f>
        <v>23069</v>
      </c>
      <c r="W30" s="11" t="n">
        <f aca="false">$C30*18</f>
        <v>24426</v>
      </c>
      <c r="X30" s="11" t="n">
        <f aca="false">$C30*19</f>
        <v>25783</v>
      </c>
      <c r="Y30" s="11" t="n">
        <f aca="false">$C30*20</f>
        <v>27140</v>
      </c>
    </row>
    <row r="31" customFormat="false" ht="15" hidden="false" customHeight="false" outlineLevel="0" collapsed="false">
      <c r="A31" s="0" t="s">
        <v>359</v>
      </c>
      <c r="B31" s="0" t="s">
        <v>360</v>
      </c>
      <c r="C31" s="11" t="n">
        <v>1753</v>
      </c>
      <c r="D31" s="0" t="s">
        <v>318</v>
      </c>
      <c r="E31" s="0" t="n">
        <v>1337</v>
      </c>
      <c r="F31" s="11" t="n">
        <f aca="false">$C31*1</f>
        <v>1753</v>
      </c>
      <c r="G31" s="11" t="n">
        <f aca="false">$C31*2</f>
        <v>3506</v>
      </c>
      <c r="H31" s="11" t="n">
        <f aca="false">$C31*3</f>
        <v>5259</v>
      </c>
      <c r="I31" s="11" t="n">
        <f aca="false">$C31*4</f>
        <v>7012</v>
      </c>
      <c r="J31" s="11" t="n">
        <f aca="false">$C31*5</f>
        <v>8765</v>
      </c>
      <c r="K31" s="11" t="n">
        <f aca="false">$C31*6</f>
        <v>10518</v>
      </c>
      <c r="L31" s="11" t="n">
        <f aca="false">$C31*7</f>
        <v>12271</v>
      </c>
      <c r="M31" s="11" t="n">
        <f aca="false">$C31*8</f>
        <v>14024</v>
      </c>
      <c r="N31" s="11" t="n">
        <f aca="false">$C31*9</f>
        <v>15777</v>
      </c>
      <c r="O31" s="11" t="n">
        <f aca="false">$C31*10</f>
        <v>17530</v>
      </c>
      <c r="P31" s="11" t="n">
        <f aca="false">$C31*11</f>
        <v>19283</v>
      </c>
      <c r="Q31" s="11" t="n">
        <f aca="false">$C31*12</f>
        <v>21036</v>
      </c>
      <c r="R31" s="11" t="n">
        <f aca="false">$C31*13</f>
        <v>22789</v>
      </c>
      <c r="S31" s="11" t="n">
        <f aca="false">$C31*14</f>
        <v>24542</v>
      </c>
      <c r="T31" s="11" t="n">
        <f aca="false">$C31*15</f>
        <v>26295</v>
      </c>
      <c r="U31" s="11" t="n">
        <f aca="false">$C31*16</f>
        <v>28048</v>
      </c>
      <c r="V31" s="11" t="n">
        <f aca="false">$C31*17</f>
        <v>29801</v>
      </c>
      <c r="W31" s="11" t="n">
        <f aca="false">$C31*18</f>
        <v>31554</v>
      </c>
      <c r="X31" s="11" t="n">
        <f aca="false">$C31*19</f>
        <v>33307</v>
      </c>
      <c r="Y31" s="11" t="n">
        <f aca="false">$C31*20</f>
        <v>35060</v>
      </c>
    </row>
    <row r="32" customFormat="false" ht="15" hidden="false" customHeight="false" outlineLevel="0" collapsed="false">
      <c r="A32" s="0" t="s">
        <v>341</v>
      </c>
      <c r="B32" s="0" t="s">
        <v>342</v>
      </c>
      <c r="C32" s="11" t="n">
        <v>1339</v>
      </c>
      <c r="D32" s="0" t="s">
        <v>318</v>
      </c>
      <c r="E32" s="0" t="n">
        <v>1342</v>
      </c>
      <c r="F32" s="11" t="n">
        <f aca="false">$C32*1</f>
        <v>1339</v>
      </c>
      <c r="G32" s="11" t="n">
        <f aca="false">$C32*2</f>
        <v>2678</v>
      </c>
      <c r="H32" s="11" t="n">
        <f aca="false">$C32*3</f>
        <v>4017</v>
      </c>
      <c r="I32" s="11" t="n">
        <f aca="false">$C32*4</f>
        <v>5356</v>
      </c>
      <c r="J32" s="11" t="n">
        <f aca="false">$C32*5</f>
        <v>6695</v>
      </c>
      <c r="K32" s="11" t="n">
        <f aca="false">$C32*6</f>
        <v>8034</v>
      </c>
      <c r="L32" s="11" t="n">
        <f aca="false">$C32*7</f>
        <v>9373</v>
      </c>
      <c r="M32" s="11" t="n">
        <f aca="false">$C32*8</f>
        <v>10712</v>
      </c>
      <c r="N32" s="11" t="n">
        <f aca="false">$C32*9</f>
        <v>12051</v>
      </c>
      <c r="O32" s="11" t="n">
        <f aca="false">$C32*10</f>
        <v>13390</v>
      </c>
      <c r="P32" s="11" t="n">
        <f aca="false">$C32*11</f>
        <v>14729</v>
      </c>
      <c r="Q32" s="11" t="n">
        <f aca="false">$C32*12</f>
        <v>16068</v>
      </c>
      <c r="R32" s="11" t="n">
        <f aca="false">$C32*13</f>
        <v>17407</v>
      </c>
      <c r="S32" s="11" t="n">
        <f aca="false">$C32*14</f>
        <v>18746</v>
      </c>
      <c r="T32" s="11" t="n">
        <f aca="false">$C32*15</f>
        <v>20085</v>
      </c>
      <c r="U32" s="11" t="n">
        <f aca="false">$C32*16</f>
        <v>21424</v>
      </c>
      <c r="V32" s="11" t="n">
        <f aca="false">$C32*17</f>
        <v>22763</v>
      </c>
      <c r="W32" s="11" t="n">
        <f aca="false">$C32*18</f>
        <v>24102</v>
      </c>
      <c r="X32" s="11" t="n">
        <f aca="false">$C32*19</f>
        <v>25441</v>
      </c>
      <c r="Y32" s="11" t="n">
        <f aca="false">$C32*20</f>
        <v>26780</v>
      </c>
    </row>
    <row r="33" customFormat="false" ht="15" hidden="false" customHeight="false" outlineLevel="0" collapsed="false">
      <c r="A33" s="0" t="s">
        <v>361</v>
      </c>
      <c r="B33" s="0" t="s">
        <v>362</v>
      </c>
      <c r="C33" s="11" t="n">
        <v>1351</v>
      </c>
      <c r="D33" s="0" t="s">
        <v>312</v>
      </c>
      <c r="E33" s="0" t="n">
        <v>1393</v>
      </c>
      <c r="F33" s="11" t="n">
        <f aca="false">$C33*1</f>
        <v>1351</v>
      </c>
      <c r="G33" s="11" t="n">
        <f aca="false">$C33*2</f>
        <v>2702</v>
      </c>
      <c r="H33" s="11" t="n">
        <f aca="false">$C33*3</f>
        <v>4053</v>
      </c>
      <c r="I33" s="11" t="n">
        <f aca="false">$C33*4</f>
        <v>5404</v>
      </c>
      <c r="J33" s="11" t="n">
        <f aca="false">$C33*5</f>
        <v>6755</v>
      </c>
      <c r="K33" s="11" t="n">
        <f aca="false">$C33*6</f>
        <v>8106</v>
      </c>
      <c r="L33" s="11" t="n">
        <f aca="false">$C33*7</f>
        <v>9457</v>
      </c>
      <c r="M33" s="11" t="n">
        <f aca="false">$C33*8</f>
        <v>10808</v>
      </c>
      <c r="N33" s="11" t="n">
        <f aca="false">$C33*9</f>
        <v>12159</v>
      </c>
      <c r="O33" s="11" t="n">
        <f aca="false">$C33*10</f>
        <v>13510</v>
      </c>
      <c r="P33" s="11" t="n">
        <f aca="false">$C33*11</f>
        <v>14861</v>
      </c>
      <c r="Q33" s="11" t="n">
        <f aca="false">$C33*12</f>
        <v>16212</v>
      </c>
      <c r="R33" s="11" t="n">
        <f aca="false">$C33*13</f>
        <v>17563</v>
      </c>
      <c r="S33" s="11" t="n">
        <f aca="false">$C33*14</f>
        <v>18914</v>
      </c>
      <c r="T33" s="11" t="n">
        <f aca="false">$C33*15</f>
        <v>20265</v>
      </c>
      <c r="U33" s="11" t="n">
        <f aca="false">$C33*16</f>
        <v>21616</v>
      </c>
      <c r="V33" s="11" t="n">
        <f aca="false">$C33*17</f>
        <v>22967</v>
      </c>
      <c r="W33" s="11" t="n">
        <f aca="false">$C33*18</f>
        <v>24318</v>
      </c>
      <c r="X33" s="11" t="n">
        <f aca="false">$C33*19</f>
        <v>25669</v>
      </c>
      <c r="Y33" s="11" t="n">
        <f aca="false">$C33*20</f>
        <v>27020</v>
      </c>
    </row>
    <row r="34" customFormat="false" ht="15" hidden="false" customHeight="false" outlineLevel="0" collapsed="false">
      <c r="A34" s="0" t="s">
        <v>347</v>
      </c>
      <c r="B34" s="0" t="s">
        <v>348</v>
      </c>
      <c r="C34" s="11" t="n">
        <v>844</v>
      </c>
      <c r="D34" s="0" t="s">
        <v>318</v>
      </c>
      <c r="E34" s="0" t="n">
        <v>494</v>
      </c>
      <c r="F34" s="11" t="n">
        <f aca="false">$C34*1</f>
        <v>844</v>
      </c>
      <c r="G34" s="11" t="n">
        <f aca="false">$C34*2</f>
        <v>1688</v>
      </c>
      <c r="H34" s="11" t="n">
        <f aca="false">$C34*3</f>
        <v>2532</v>
      </c>
      <c r="I34" s="11" t="n">
        <f aca="false">$C34*4</f>
        <v>3376</v>
      </c>
      <c r="J34" s="11" t="n">
        <f aca="false">$C34*5</f>
        <v>4220</v>
      </c>
      <c r="K34" s="11" t="n">
        <f aca="false">$C34*6</f>
        <v>5064</v>
      </c>
      <c r="L34" s="11" t="n">
        <f aca="false">$C34*7</f>
        <v>5908</v>
      </c>
      <c r="M34" s="11" t="n">
        <f aca="false">$C34*8</f>
        <v>6752</v>
      </c>
      <c r="N34" s="11" t="n">
        <f aca="false">$C34*9</f>
        <v>7596</v>
      </c>
      <c r="O34" s="11" t="n">
        <f aca="false">$C34*10</f>
        <v>8440</v>
      </c>
      <c r="P34" s="11" t="n">
        <f aca="false">$C34*11</f>
        <v>9284</v>
      </c>
      <c r="Q34" s="11" t="n">
        <f aca="false">$C34*12</f>
        <v>10128</v>
      </c>
      <c r="R34" s="11" t="n">
        <f aca="false">$C34*13</f>
        <v>10972</v>
      </c>
      <c r="S34" s="11" t="n">
        <f aca="false">$C34*14</f>
        <v>11816</v>
      </c>
      <c r="T34" s="11" t="n">
        <f aca="false">$C34*15</f>
        <v>12660</v>
      </c>
      <c r="U34" s="11" t="n">
        <f aca="false">$C34*16</f>
        <v>13504</v>
      </c>
      <c r="V34" s="11" t="n">
        <f aca="false">$C34*17</f>
        <v>14348</v>
      </c>
      <c r="W34" s="11" t="n">
        <f aca="false">$C34*18</f>
        <v>15192</v>
      </c>
      <c r="X34" s="11" t="n">
        <f aca="false">$C34*19</f>
        <v>16036</v>
      </c>
      <c r="Y34" s="11" t="n">
        <f aca="false">$C34*20</f>
        <v>16880</v>
      </c>
    </row>
    <row r="35" customFormat="false" ht="15" hidden="false" customHeight="false" outlineLevel="0" collapsed="false">
      <c r="A35" s="0" t="s">
        <v>363</v>
      </c>
      <c r="B35" s="0" t="s">
        <v>364</v>
      </c>
      <c r="C35" s="11" t="n">
        <v>1264</v>
      </c>
      <c r="D35" s="0" t="s">
        <v>318</v>
      </c>
      <c r="E35" s="0" t="n">
        <v>299</v>
      </c>
      <c r="F35" s="11" t="n">
        <f aca="false">$C35*1</f>
        <v>1264</v>
      </c>
      <c r="G35" s="11" t="n">
        <f aca="false">$C35*2</f>
        <v>2528</v>
      </c>
      <c r="H35" s="11" t="n">
        <f aca="false">$C35*3</f>
        <v>3792</v>
      </c>
      <c r="I35" s="11" t="n">
        <f aca="false">$C35*4</f>
        <v>5056</v>
      </c>
      <c r="J35" s="11" t="n">
        <f aca="false">$C35*5</f>
        <v>6320</v>
      </c>
      <c r="K35" s="11" t="n">
        <f aca="false">$C35*6</f>
        <v>7584</v>
      </c>
      <c r="L35" s="11" t="n">
        <f aca="false">$C35*7</f>
        <v>8848</v>
      </c>
      <c r="M35" s="11" t="n">
        <f aca="false">$C35*8</f>
        <v>10112</v>
      </c>
      <c r="N35" s="11" t="n">
        <f aca="false">$C35*9</f>
        <v>11376</v>
      </c>
      <c r="O35" s="11" t="n">
        <f aca="false">$C35*10</f>
        <v>12640</v>
      </c>
      <c r="P35" s="11" t="n">
        <f aca="false">$C35*11</f>
        <v>13904</v>
      </c>
      <c r="Q35" s="11" t="n">
        <f aca="false">$C35*12</f>
        <v>15168</v>
      </c>
      <c r="R35" s="11" t="n">
        <f aca="false">$C35*13</f>
        <v>16432</v>
      </c>
      <c r="S35" s="11" t="n">
        <f aca="false">$C35*14</f>
        <v>17696</v>
      </c>
      <c r="T35" s="11" t="n">
        <f aca="false">$C35*15</f>
        <v>18960</v>
      </c>
      <c r="U35" s="11" t="n">
        <f aca="false">$C35*16</f>
        <v>20224</v>
      </c>
      <c r="V35" s="11" t="n">
        <f aca="false">$C35*17</f>
        <v>21488</v>
      </c>
      <c r="W35" s="11" t="n">
        <f aca="false">$C35*18</f>
        <v>22752</v>
      </c>
      <c r="X35" s="11" t="n">
        <f aca="false">$C35*19</f>
        <v>24016</v>
      </c>
      <c r="Y35" s="11" t="n">
        <f aca="false">$C35*20</f>
        <v>25280</v>
      </c>
    </row>
    <row r="36" customFormat="false" ht="15" hidden="false" customHeight="false" outlineLevel="0" collapsed="false">
      <c r="A36" s="0" t="s">
        <v>330</v>
      </c>
      <c r="B36" s="0" t="s">
        <v>331</v>
      </c>
      <c r="C36" s="11" t="n">
        <v>3053</v>
      </c>
      <c r="D36" s="0" t="s">
        <v>318</v>
      </c>
      <c r="E36" s="0" t="n">
        <v>1360</v>
      </c>
      <c r="F36" s="11" t="n">
        <f aca="false">$C36*1</f>
        <v>3053</v>
      </c>
      <c r="G36" s="11" t="n">
        <f aca="false">$C36*2</f>
        <v>6106</v>
      </c>
      <c r="H36" s="11" t="n">
        <f aca="false">$C36*3</f>
        <v>9159</v>
      </c>
      <c r="I36" s="11" t="n">
        <f aca="false">$C36*4</f>
        <v>12212</v>
      </c>
      <c r="J36" s="11" t="n">
        <f aca="false">$C36*5</f>
        <v>15265</v>
      </c>
      <c r="K36" s="11" t="n">
        <f aca="false">$C36*6</f>
        <v>18318</v>
      </c>
      <c r="L36" s="11" t="n">
        <f aca="false">$C36*7</f>
        <v>21371</v>
      </c>
      <c r="M36" s="11" t="n">
        <f aca="false">$C36*8</f>
        <v>24424</v>
      </c>
      <c r="N36" s="11" t="n">
        <f aca="false">$C36*9</f>
        <v>27477</v>
      </c>
      <c r="O36" s="11" t="n">
        <f aca="false">$C36*10</f>
        <v>30530</v>
      </c>
      <c r="P36" s="11" t="n">
        <f aca="false">$C36*11</f>
        <v>33583</v>
      </c>
      <c r="Q36" s="11" t="n">
        <f aca="false">$C36*12</f>
        <v>36636</v>
      </c>
      <c r="R36" s="11" t="n">
        <f aca="false">$C36*13</f>
        <v>39689</v>
      </c>
      <c r="S36" s="11" t="n">
        <f aca="false">$C36*14</f>
        <v>42742</v>
      </c>
      <c r="T36" s="11" t="n">
        <f aca="false">$C36*15</f>
        <v>45795</v>
      </c>
      <c r="U36" s="11" t="n">
        <f aca="false">$C36*16</f>
        <v>48848</v>
      </c>
      <c r="V36" s="11" t="n">
        <f aca="false">$C36*17</f>
        <v>51901</v>
      </c>
      <c r="W36" s="11" t="n">
        <f aca="false">$C36*18</f>
        <v>54954</v>
      </c>
      <c r="X36" s="11" t="n">
        <f aca="false">$C36*19</f>
        <v>58007</v>
      </c>
      <c r="Y36" s="11" t="n">
        <f aca="false">$C36*20</f>
        <v>61060</v>
      </c>
    </row>
    <row r="37" customFormat="false" ht="15" hidden="false" customHeight="false" outlineLevel="0" collapsed="false">
      <c r="A37" s="0" t="s">
        <v>351</v>
      </c>
      <c r="B37" s="0" t="s">
        <v>352</v>
      </c>
      <c r="C37" s="11" t="n">
        <v>2566</v>
      </c>
      <c r="D37" s="0" t="s">
        <v>318</v>
      </c>
      <c r="E37" s="0" t="n">
        <v>1271</v>
      </c>
      <c r="F37" s="11" t="n">
        <f aca="false">$C37*1</f>
        <v>2566</v>
      </c>
      <c r="G37" s="11" t="n">
        <f aca="false">$C37*2</f>
        <v>5132</v>
      </c>
      <c r="H37" s="11" t="n">
        <f aca="false">$C37*3</f>
        <v>7698</v>
      </c>
      <c r="I37" s="11" t="n">
        <f aca="false">$C37*4</f>
        <v>10264</v>
      </c>
      <c r="J37" s="11" t="n">
        <f aca="false">$C37*5</f>
        <v>12830</v>
      </c>
      <c r="K37" s="11" t="n">
        <f aca="false">$C37*6</f>
        <v>15396</v>
      </c>
      <c r="L37" s="11" t="n">
        <f aca="false">$C37*7</f>
        <v>17962</v>
      </c>
      <c r="M37" s="11" t="n">
        <f aca="false">$C37*8</f>
        <v>20528</v>
      </c>
      <c r="N37" s="11" t="n">
        <f aca="false">$C37*9</f>
        <v>23094</v>
      </c>
      <c r="O37" s="11" t="n">
        <f aca="false">$C37*10</f>
        <v>25660</v>
      </c>
      <c r="P37" s="11" t="n">
        <f aca="false">$C37*11</f>
        <v>28226</v>
      </c>
      <c r="Q37" s="11" t="n">
        <f aca="false">$C37*12</f>
        <v>30792</v>
      </c>
      <c r="R37" s="11" t="n">
        <f aca="false">$C37*13</f>
        <v>33358</v>
      </c>
      <c r="S37" s="11" t="n">
        <f aca="false">$C37*14</f>
        <v>35924</v>
      </c>
      <c r="T37" s="11" t="n">
        <f aca="false">$C37*15</f>
        <v>38490</v>
      </c>
      <c r="U37" s="11" t="n">
        <f aca="false">$C37*16</f>
        <v>41056</v>
      </c>
      <c r="V37" s="11" t="n">
        <f aca="false">$C37*17</f>
        <v>43622</v>
      </c>
      <c r="W37" s="11" t="n">
        <f aca="false">$C37*18</f>
        <v>46188</v>
      </c>
      <c r="X37" s="11" t="n">
        <f aca="false">$C37*19</f>
        <v>48754</v>
      </c>
      <c r="Y37" s="11" t="n">
        <f aca="false">$C37*20</f>
        <v>51320</v>
      </c>
    </row>
    <row r="38" customFormat="false" ht="15" hidden="false" customHeight="false" outlineLevel="0" collapsed="false">
      <c r="A38" s="0" t="s">
        <v>365</v>
      </c>
      <c r="B38" s="0" t="s">
        <v>366</v>
      </c>
      <c r="C38" s="11" t="n">
        <v>1406</v>
      </c>
      <c r="D38" s="0" t="s">
        <v>318</v>
      </c>
      <c r="E38" s="0" t="n">
        <v>352</v>
      </c>
      <c r="F38" s="11" t="n">
        <f aca="false">$C38*1</f>
        <v>1406</v>
      </c>
      <c r="G38" s="11" t="n">
        <f aca="false">$C38*2</f>
        <v>2812</v>
      </c>
      <c r="H38" s="11" t="n">
        <f aca="false">$C38*3</f>
        <v>4218</v>
      </c>
      <c r="I38" s="11" t="n">
        <f aca="false">$C38*4</f>
        <v>5624</v>
      </c>
      <c r="J38" s="11" t="n">
        <f aca="false">$C38*5</f>
        <v>7030</v>
      </c>
      <c r="K38" s="11" t="n">
        <f aca="false">$C38*6</f>
        <v>8436</v>
      </c>
      <c r="L38" s="11" t="n">
        <f aca="false">$C38*7</f>
        <v>9842</v>
      </c>
      <c r="M38" s="11" t="n">
        <f aca="false">$C38*8</f>
        <v>11248</v>
      </c>
      <c r="N38" s="11" t="n">
        <f aca="false">$C38*9</f>
        <v>12654</v>
      </c>
      <c r="O38" s="11" t="n">
        <f aca="false">$C38*10</f>
        <v>14060</v>
      </c>
      <c r="P38" s="11" t="n">
        <f aca="false">$C38*11</f>
        <v>15466</v>
      </c>
      <c r="Q38" s="11" t="n">
        <f aca="false">$C38*12</f>
        <v>16872</v>
      </c>
      <c r="R38" s="11" t="n">
        <f aca="false">$C38*13</f>
        <v>18278</v>
      </c>
      <c r="S38" s="11" t="n">
        <f aca="false">$C38*14</f>
        <v>19684</v>
      </c>
      <c r="T38" s="11" t="n">
        <f aca="false">$C38*15</f>
        <v>21090</v>
      </c>
      <c r="U38" s="11" t="n">
        <f aca="false">$C38*16</f>
        <v>22496</v>
      </c>
      <c r="V38" s="11" t="n">
        <f aca="false">$C38*17</f>
        <v>23902</v>
      </c>
      <c r="W38" s="11" t="n">
        <f aca="false">$C38*18</f>
        <v>25308</v>
      </c>
      <c r="X38" s="11" t="n">
        <f aca="false">$C38*19</f>
        <v>26714</v>
      </c>
      <c r="Y38" s="11" t="n">
        <f aca="false">$C38*20</f>
        <v>28120</v>
      </c>
    </row>
    <row r="39" customFormat="false" ht="15" hidden="false" customHeight="false" outlineLevel="0" collapsed="false">
      <c r="A39" s="0" t="s">
        <v>367</v>
      </c>
      <c r="B39" s="0" t="s">
        <v>368</v>
      </c>
      <c r="C39" s="11" t="n">
        <v>1140</v>
      </c>
      <c r="D39" s="0" t="s">
        <v>318</v>
      </c>
      <c r="E39" s="0" t="n">
        <v>358</v>
      </c>
      <c r="F39" s="11" t="n">
        <f aca="false">$C39*1</f>
        <v>1140</v>
      </c>
      <c r="G39" s="11" t="n">
        <f aca="false">$C39*2</f>
        <v>2280</v>
      </c>
      <c r="H39" s="11" t="n">
        <f aca="false">$C39*3</f>
        <v>3420</v>
      </c>
      <c r="I39" s="11" t="n">
        <f aca="false">$C39*4</f>
        <v>4560</v>
      </c>
      <c r="J39" s="11" t="n">
        <f aca="false">$C39*5</f>
        <v>5700</v>
      </c>
      <c r="K39" s="11" t="n">
        <f aca="false">$C39*6</f>
        <v>6840</v>
      </c>
      <c r="L39" s="11" t="n">
        <f aca="false">$C39*7</f>
        <v>7980</v>
      </c>
      <c r="M39" s="11" t="n">
        <f aca="false">$C39*8</f>
        <v>9120</v>
      </c>
      <c r="N39" s="11" t="n">
        <f aca="false">$C39*9</f>
        <v>10260</v>
      </c>
      <c r="O39" s="11" t="n">
        <f aca="false">$C39*10</f>
        <v>11400</v>
      </c>
      <c r="P39" s="11" t="n">
        <f aca="false">$C39*11</f>
        <v>12540</v>
      </c>
      <c r="Q39" s="11" t="n">
        <f aca="false">$C39*12</f>
        <v>13680</v>
      </c>
      <c r="R39" s="11" t="n">
        <f aca="false">$C39*13</f>
        <v>14820</v>
      </c>
      <c r="S39" s="11" t="n">
        <f aca="false">$C39*14</f>
        <v>15960</v>
      </c>
      <c r="T39" s="11" t="n">
        <f aca="false">$C39*15</f>
        <v>17100</v>
      </c>
      <c r="U39" s="11" t="n">
        <f aca="false">$C39*16</f>
        <v>18240</v>
      </c>
      <c r="V39" s="11" t="n">
        <f aca="false">$C39*17</f>
        <v>19380</v>
      </c>
      <c r="W39" s="11" t="n">
        <f aca="false">$C39*18</f>
        <v>20520</v>
      </c>
      <c r="X39" s="11" t="n">
        <f aca="false">$C39*19</f>
        <v>21660</v>
      </c>
      <c r="Y39" s="11" t="n">
        <f aca="false">$C39*20</f>
        <v>22800</v>
      </c>
    </row>
    <row r="40" customFormat="false" ht="15" hidden="false" customHeight="false" outlineLevel="0" collapsed="false">
      <c r="A40" s="0" t="s">
        <v>369</v>
      </c>
      <c r="B40" s="0" t="s">
        <v>370</v>
      </c>
      <c r="C40" s="11" t="n">
        <v>872</v>
      </c>
      <c r="D40" s="0" t="s">
        <v>312</v>
      </c>
      <c r="E40" s="0" t="n">
        <v>17</v>
      </c>
      <c r="F40" s="11" t="n">
        <f aca="false">$C40*1</f>
        <v>872</v>
      </c>
      <c r="G40" s="11" t="n">
        <f aca="false">$C40*2</f>
        <v>1744</v>
      </c>
      <c r="H40" s="11" t="n">
        <f aca="false">$C40*3</f>
        <v>2616</v>
      </c>
      <c r="I40" s="11" t="n">
        <f aca="false">$C40*4</f>
        <v>3488</v>
      </c>
      <c r="J40" s="11" t="n">
        <f aca="false">$C40*5</f>
        <v>4360</v>
      </c>
      <c r="K40" s="11" t="n">
        <f aca="false">$C40*6</f>
        <v>5232</v>
      </c>
      <c r="L40" s="11" t="n">
        <f aca="false">$C40*7</f>
        <v>6104</v>
      </c>
      <c r="M40" s="11" t="n">
        <f aca="false">$C40*8</f>
        <v>6976</v>
      </c>
      <c r="N40" s="11" t="n">
        <f aca="false">$C40*9</f>
        <v>7848</v>
      </c>
      <c r="O40" s="11" t="n">
        <f aca="false">$C40*10</f>
        <v>8720</v>
      </c>
      <c r="P40" s="11" t="n">
        <f aca="false">$C40*11</f>
        <v>9592</v>
      </c>
      <c r="Q40" s="11" t="n">
        <f aca="false">$C40*12</f>
        <v>10464</v>
      </c>
      <c r="R40" s="11" t="n">
        <f aca="false">$C40*13</f>
        <v>11336</v>
      </c>
      <c r="S40" s="11" t="n">
        <f aca="false">$C40*14</f>
        <v>12208</v>
      </c>
      <c r="T40" s="11" t="n">
        <f aca="false">$C40*15</f>
        <v>13080</v>
      </c>
      <c r="U40" s="11" t="n">
        <f aca="false">$C40*16</f>
        <v>13952</v>
      </c>
      <c r="V40" s="11" t="n">
        <f aca="false">$C40*17</f>
        <v>14824</v>
      </c>
      <c r="W40" s="11" t="n">
        <f aca="false">$C40*18</f>
        <v>15696</v>
      </c>
      <c r="X40" s="11" t="n">
        <f aca="false">$C40*19</f>
        <v>16568</v>
      </c>
      <c r="Y40" s="11" t="n">
        <f aca="false">$C40*20</f>
        <v>17440</v>
      </c>
    </row>
    <row r="41" customFormat="false" ht="15" hidden="false" customHeight="false" outlineLevel="0" collapsed="false">
      <c r="A41" s="0" t="s">
        <v>371</v>
      </c>
      <c r="B41" s="0" t="s">
        <v>372</v>
      </c>
      <c r="C41" s="11" t="n">
        <v>1334</v>
      </c>
      <c r="D41" s="0" t="s">
        <v>312</v>
      </c>
      <c r="E41" s="0" t="n">
        <v>332</v>
      </c>
      <c r="F41" s="11" t="n">
        <f aca="false">$C41*1</f>
        <v>1334</v>
      </c>
      <c r="G41" s="11" t="n">
        <f aca="false">$C41*2</f>
        <v>2668</v>
      </c>
      <c r="H41" s="11" t="n">
        <f aca="false">$C41*3</f>
        <v>4002</v>
      </c>
      <c r="I41" s="11" t="n">
        <f aca="false">$C41*4</f>
        <v>5336</v>
      </c>
      <c r="J41" s="11" t="n">
        <f aca="false">$C41*5</f>
        <v>6670</v>
      </c>
      <c r="K41" s="11" t="n">
        <f aca="false">$C41*6</f>
        <v>8004</v>
      </c>
      <c r="L41" s="11" t="n">
        <f aca="false">$C41*7</f>
        <v>9338</v>
      </c>
      <c r="M41" s="11" t="n">
        <f aca="false">$C41*8</f>
        <v>10672</v>
      </c>
      <c r="N41" s="11" t="n">
        <f aca="false">$C41*9</f>
        <v>12006</v>
      </c>
      <c r="O41" s="11" t="n">
        <f aca="false">$C41*10</f>
        <v>13340</v>
      </c>
      <c r="P41" s="11" t="n">
        <f aca="false">$C41*11</f>
        <v>14674</v>
      </c>
      <c r="Q41" s="11" t="n">
        <f aca="false">$C41*12</f>
        <v>16008</v>
      </c>
      <c r="R41" s="11" t="n">
        <f aca="false">$C41*13</f>
        <v>17342</v>
      </c>
      <c r="S41" s="11" t="n">
        <f aca="false">$C41*14</f>
        <v>18676</v>
      </c>
      <c r="T41" s="11" t="n">
        <f aca="false">$C41*15</f>
        <v>20010</v>
      </c>
      <c r="U41" s="11" t="n">
        <f aca="false">$C41*16</f>
        <v>21344</v>
      </c>
      <c r="V41" s="11" t="n">
        <f aca="false">$C41*17</f>
        <v>22678</v>
      </c>
      <c r="W41" s="11" t="n">
        <f aca="false">$C41*18</f>
        <v>24012</v>
      </c>
      <c r="X41" s="11" t="n">
        <f aca="false">$C41*19</f>
        <v>25346</v>
      </c>
      <c r="Y41" s="11" t="n">
        <f aca="false">$C41*20</f>
        <v>26680</v>
      </c>
    </row>
    <row r="42" customFormat="false" ht="15" hidden="false" customHeight="false" outlineLevel="0" collapsed="false">
      <c r="A42" s="0" t="s">
        <v>373</v>
      </c>
      <c r="B42" s="0" t="s">
        <v>374</v>
      </c>
      <c r="C42" s="11" t="n">
        <v>1257</v>
      </c>
      <c r="D42" s="0" t="s">
        <v>312</v>
      </c>
      <c r="E42" s="0" t="n">
        <v>1061</v>
      </c>
      <c r="F42" s="11" t="n">
        <f aca="false">$C42*1</f>
        <v>1257</v>
      </c>
      <c r="G42" s="11" t="n">
        <f aca="false">$C42*2</f>
        <v>2514</v>
      </c>
      <c r="H42" s="11" t="n">
        <f aca="false">$C42*3</f>
        <v>3771</v>
      </c>
      <c r="I42" s="11" t="n">
        <f aca="false">$C42*4</f>
        <v>5028</v>
      </c>
      <c r="J42" s="11" t="n">
        <f aca="false">$C42*5</f>
        <v>6285</v>
      </c>
      <c r="K42" s="11" t="n">
        <f aca="false">$C42*6</f>
        <v>7542</v>
      </c>
      <c r="L42" s="11" t="n">
        <f aca="false">$C42*7</f>
        <v>8799</v>
      </c>
      <c r="M42" s="11" t="n">
        <f aca="false">$C42*8</f>
        <v>10056</v>
      </c>
      <c r="N42" s="11" t="n">
        <f aca="false">$C42*9</f>
        <v>11313</v>
      </c>
      <c r="O42" s="11" t="n">
        <f aca="false">$C42*10</f>
        <v>12570</v>
      </c>
      <c r="P42" s="11" t="n">
        <f aca="false">$C42*11</f>
        <v>13827</v>
      </c>
      <c r="Q42" s="11" t="n">
        <f aca="false">$C42*12</f>
        <v>15084</v>
      </c>
      <c r="R42" s="11" t="n">
        <f aca="false">$C42*13</f>
        <v>16341</v>
      </c>
      <c r="S42" s="11" t="n">
        <f aca="false">$C42*14</f>
        <v>17598</v>
      </c>
      <c r="T42" s="11" t="n">
        <f aca="false">$C42*15</f>
        <v>18855</v>
      </c>
      <c r="U42" s="11" t="n">
        <f aca="false">$C42*16</f>
        <v>20112</v>
      </c>
      <c r="V42" s="11" t="n">
        <f aca="false">$C42*17</f>
        <v>21369</v>
      </c>
      <c r="W42" s="11" t="n">
        <f aca="false">$C42*18</f>
        <v>22626</v>
      </c>
      <c r="X42" s="11" t="n">
        <f aca="false">$C42*19</f>
        <v>23883</v>
      </c>
      <c r="Y42" s="11" t="n">
        <f aca="false">$C42*20</f>
        <v>25140</v>
      </c>
    </row>
    <row r="43" customFormat="false" ht="15" hidden="false" customHeight="false" outlineLevel="0" collapsed="false">
      <c r="A43" s="0" t="s">
        <v>375</v>
      </c>
      <c r="B43" s="0" t="s">
        <v>376</v>
      </c>
      <c r="C43" s="11" t="n">
        <v>1236</v>
      </c>
      <c r="D43" s="0" t="s">
        <v>318</v>
      </c>
      <c r="E43" s="0" t="n">
        <v>1013</v>
      </c>
      <c r="F43" s="11" t="n">
        <f aca="false">$C43*1</f>
        <v>1236</v>
      </c>
      <c r="G43" s="11" t="n">
        <f aca="false">$C43*2</f>
        <v>2472</v>
      </c>
      <c r="H43" s="11" t="n">
        <f aca="false">$C43*3</f>
        <v>3708</v>
      </c>
      <c r="I43" s="11" t="n">
        <f aca="false">$C43*4</f>
        <v>4944</v>
      </c>
      <c r="J43" s="11" t="n">
        <f aca="false">$C43*5</f>
        <v>6180</v>
      </c>
      <c r="K43" s="11" t="n">
        <f aca="false">$C43*6</f>
        <v>7416</v>
      </c>
      <c r="L43" s="11" t="n">
        <f aca="false">$C43*7</f>
        <v>8652</v>
      </c>
      <c r="M43" s="11" t="n">
        <f aca="false">$C43*8</f>
        <v>9888</v>
      </c>
      <c r="N43" s="11" t="n">
        <f aca="false">$C43*9</f>
        <v>11124</v>
      </c>
      <c r="O43" s="11" t="n">
        <f aca="false">$C43*10</f>
        <v>12360</v>
      </c>
      <c r="P43" s="11" t="n">
        <f aca="false">$C43*11</f>
        <v>13596</v>
      </c>
      <c r="Q43" s="11" t="n">
        <f aca="false">$C43*12</f>
        <v>14832</v>
      </c>
      <c r="R43" s="11" t="n">
        <f aca="false">$C43*13</f>
        <v>16068</v>
      </c>
      <c r="S43" s="11" t="n">
        <f aca="false">$C43*14</f>
        <v>17304</v>
      </c>
      <c r="T43" s="11" t="n">
        <f aca="false">$C43*15</f>
        <v>18540</v>
      </c>
      <c r="U43" s="11" t="n">
        <f aca="false">$C43*16</f>
        <v>19776</v>
      </c>
      <c r="V43" s="11" t="n">
        <f aca="false">$C43*17</f>
        <v>21012</v>
      </c>
      <c r="W43" s="11" t="n">
        <f aca="false">$C43*18</f>
        <v>22248</v>
      </c>
      <c r="X43" s="11" t="n">
        <f aca="false">$C43*19</f>
        <v>23484</v>
      </c>
      <c r="Y43" s="11" t="n">
        <f aca="false">$C43*20</f>
        <v>24720</v>
      </c>
    </row>
    <row r="44" customFormat="false" ht="15" hidden="false" customHeight="false" outlineLevel="0" collapsed="false">
      <c r="A44" s="0" t="s">
        <v>377</v>
      </c>
      <c r="B44" s="0" t="s">
        <v>378</v>
      </c>
      <c r="C44" s="11" t="n">
        <v>1352</v>
      </c>
      <c r="D44" s="0" t="s">
        <v>309</v>
      </c>
      <c r="E44" s="0" t="n">
        <v>1549</v>
      </c>
      <c r="F44" s="11" t="n">
        <f aca="false">$C44*1</f>
        <v>1352</v>
      </c>
      <c r="G44" s="11" t="n">
        <f aca="false">$C44*2</f>
        <v>2704</v>
      </c>
      <c r="H44" s="11" t="n">
        <f aca="false">$C44*3</f>
        <v>4056</v>
      </c>
      <c r="I44" s="11" t="n">
        <f aca="false">$C44*4</f>
        <v>5408</v>
      </c>
      <c r="J44" s="11" t="n">
        <f aca="false">$C44*5</f>
        <v>6760</v>
      </c>
      <c r="K44" s="11" t="n">
        <f aca="false">$C44*6</f>
        <v>8112</v>
      </c>
      <c r="L44" s="11" t="n">
        <f aca="false">$C44*7</f>
        <v>9464</v>
      </c>
      <c r="M44" s="11" t="n">
        <f aca="false">$C44*8</f>
        <v>10816</v>
      </c>
      <c r="N44" s="11" t="n">
        <f aca="false">$C44*9</f>
        <v>12168</v>
      </c>
      <c r="O44" s="11" t="n">
        <f aca="false">$C44*10</f>
        <v>13520</v>
      </c>
      <c r="P44" s="11" t="n">
        <f aca="false">$C44*11</f>
        <v>14872</v>
      </c>
      <c r="Q44" s="11" t="n">
        <f aca="false">$C44*12</f>
        <v>16224</v>
      </c>
      <c r="R44" s="11" t="n">
        <f aca="false">$C44*13</f>
        <v>17576</v>
      </c>
      <c r="S44" s="11" t="n">
        <f aca="false">$C44*14</f>
        <v>18928</v>
      </c>
      <c r="T44" s="11" t="n">
        <f aca="false">$C44*15</f>
        <v>20280</v>
      </c>
      <c r="U44" s="11" t="n">
        <f aca="false">$C44*16</f>
        <v>21632</v>
      </c>
      <c r="V44" s="11" t="n">
        <f aca="false">$C44*17</f>
        <v>22984</v>
      </c>
      <c r="W44" s="11" t="n">
        <f aca="false">$C44*18</f>
        <v>24336</v>
      </c>
      <c r="X44" s="11" t="n">
        <f aca="false">$C44*19</f>
        <v>25688</v>
      </c>
      <c r="Y44" s="11" t="n">
        <f aca="false">$C44*20</f>
        <v>27040</v>
      </c>
    </row>
    <row r="45" customFormat="false" ht="15" hidden="false" customHeight="false" outlineLevel="0" collapsed="false">
      <c r="A45" s="0" t="s">
        <v>359</v>
      </c>
      <c r="B45" s="0" t="s">
        <v>360</v>
      </c>
      <c r="C45" s="11" t="n">
        <v>1753</v>
      </c>
      <c r="D45" s="0" t="s">
        <v>318</v>
      </c>
      <c r="E45" s="0" t="n">
        <v>1337</v>
      </c>
      <c r="F45" s="11" t="n">
        <f aca="false">$C45*1</f>
        <v>1753</v>
      </c>
      <c r="G45" s="11" t="n">
        <f aca="false">$C45*2</f>
        <v>3506</v>
      </c>
      <c r="H45" s="11" t="n">
        <f aca="false">$C45*3</f>
        <v>5259</v>
      </c>
      <c r="I45" s="11" t="n">
        <f aca="false">$C45*4</f>
        <v>7012</v>
      </c>
      <c r="J45" s="11" t="n">
        <f aca="false">$C45*5</f>
        <v>8765</v>
      </c>
      <c r="K45" s="11" t="n">
        <f aca="false">$C45*6</f>
        <v>10518</v>
      </c>
      <c r="L45" s="11" t="n">
        <f aca="false">$C45*7</f>
        <v>12271</v>
      </c>
      <c r="M45" s="11" t="n">
        <f aca="false">$C45*8</f>
        <v>14024</v>
      </c>
      <c r="N45" s="11" t="n">
        <f aca="false">$C45*9</f>
        <v>15777</v>
      </c>
      <c r="O45" s="11" t="n">
        <f aca="false">$C45*10</f>
        <v>17530</v>
      </c>
      <c r="P45" s="11" t="n">
        <f aca="false">$C45*11</f>
        <v>19283</v>
      </c>
      <c r="Q45" s="11" t="n">
        <f aca="false">$C45*12</f>
        <v>21036</v>
      </c>
      <c r="R45" s="11" t="n">
        <f aca="false">$C45*13</f>
        <v>22789</v>
      </c>
      <c r="S45" s="11" t="n">
        <f aca="false">$C45*14</f>
        <v>24542</v>
      </c>
      <c r="T45" s="11" t="n">
        <f aca="false">$C45*15</f>
        <v>26295</v>
      </c>
      <c r="U45" s="11" t="n">
        <f aca="false">$C45*16</f>
        <v>28048</v>
      </c>
      <c r="V45" s="11" t="n">
        <f aca="false">$C45*17</f>
        <v>29801</v>
      </c>
      <c r="W45" s="11" t="n">
        <f aca="false">$C45*18</f>
        <v>31554</v>
      </c>
      <c r="X45" s="11" t="n">
        <f aca="false">$C45*19</f>
        <v>33307</v>
      </c>
      <c r="Y45" s="11" t="n">
        <f aca="false">$C45*20</f>
        <v>35060</v>
      </c>
    </row>
    <row r="46" customFormat="false" ht="15" hidden="false" customHeight="false" outlineLevel="0" collapsed="false">
      <c r="A46" s="0" t="s">
        <v>379</v>
      </c>
      <c r="B46" s="0" t="s">
        <v>380</v>
      </c>
      <c r="C46" s="11" t="n">
        <v>2063</v>
      </c>
      <c r="D46" s="0" t="s">
        <v>318</v>
      </c>
      <c r="E46" s="0" t="n">
        <v>663</v>
      </c>
      <c r="F46" s="11" t="n">
        <f aca="false">$C46*1</f>
        <v>2063</v>
      </c>
      <c r="G46" s="11" t="n">
        <f aca="false">$C46*2</f>
        <v>4126</v>
      </c>
      <c r="H46" s="11" t="n">
        <f aca="false">$C46*3</f>
        <v>6189</v>
      </c>
      <c r="I46" s="11" t="n">
        <f aca="false">$C46*4</f>
        <v>8252</v>
      </c>
      <c r="J46" s="11" t="n">
        <f aca="false">$C46*5</f>
        <v>10315</v>
      </c>
      <c r="K46" s="11" t="n">
        <f aca="false">$C46*6</f>
        <v>12378</v>
      </c>
      <c r="L46" s="11" t="n">
        <f aca="false">$C46*7</f>
        <v>14441</v>
      </c>
      <c r="M46" s="11" t="n">
        <f aca="false">$C46*8</f>
        <v>16504</v>
      </c>
      <c r="N46" s="11" t="n">
        <f aca="false">$C46*9</f>
        <v>18567</v>
      </c>
      <c r="O46" s="11" t="n">
        <f aca="false">$C46*10</f>
        <v>20630</v>
      </c>
      <c r="P46" s="11" t="n">
        <f aca="false">$C46*11</f>
        <v>22693</v>
      </c>
      <c r="Q46" s="11" t="n">
        <f aca="false">$C46*12</f>
        <v>24756</v>
      </c>
      <c r="R46" s="11" t="n">
        <f aca="false">$C46*13</f>
        <v>26819</v>
      </c>
      <c r="S46" s="11" t="n">
        <f aca="false">$C46*14</f>
        <v>28882</v>
      </c>
      <c r="T46" s="11" t="n">
        <f aca="false">$C46*15</f>
        <v>30945</v>
      </c>
      <c r="U46" s="11" t="n">
        <f aca="false">$C46*16</f>
        <v>33008</v>
      </c>
      <c r="V46" s="11" t="n">
        <f aca="false">$C46*17</f>
        <v>35071</v>
      </c>
      <c r="W46" s="11" t="n">
        <f aca="false">$C46*18</f>
        <v>37134</v>
      </c>
      <c r="X46" s="11" t="n">
        <f aca="false">$C46*19</f>
        <v>39197</v>
      </c>
      <c r="Y46" s="11" t="n">
        <f aca="false">$C46*20</f>
        <v>41260</v>
      </c>
    </row>
    <row r="47" customFormat="false" ht="15" hidden="false" customHeight="false" outlineLevel="0" collapsed="false">
      <c r="A47" s="0" t="s">
        <v>381</v>
      </c>
      <c r="B47" s="0" t="s">
        <v>382</v>
      </c>
      <c r="C47" s="11" t="n">
        <v>2302</v>
      </c>
      <c r="D47" s="0" t="s">
        <v>318</v>
      </c>
      <c r="E47" s="0" t="n">
        <v>1983</v>
      </c>
      <c r="F47" s="11" t="n">
        <f aca="false">$C47*1</f>
        <v>2302</v>
      </c>
      <c r="G47" s="11" t="n">
        <f aca="false">$C47*2</f>
        <v>4604</v>
      </c>
      <c r="H47" s="11" t="n">
        <f aca="false">$C47*3</f>
        <v>6906</v>
      </c>
      <c r="I47" s="11" t="n">
        <f aca="false">$C47*4</f>
        <v>9208</v>
      </c>
      <c r="J47" s="11" t="n">
        <f aca="false">$C47*5</f>
        <v>11510</v>
      </c>
      <c r="K47" s="11" t="n">
        <f aca="false">$C47*6</f>
        <v>13812</v>
      </c>
      <c r="L47" s="11" t="n">
        <f aca="false">$C47*7</f>
        <v>16114</v>
      </c>
      <c r="M47" s="11" t="n">
        <f aca="false">$C47*8</f>
        <v>18416</v>
      </c>
      <c r="N47" s="11" t="n">
        <f aca="false">$C47*9</f>
        <v>20718</v>
      </c>
      <c r="O47" s="11" t="n">
        <f aca="false">$C47*10</f>
        <v>23020</v>
      </c>
      <c r="P47" s="11" t="n">
        <f aca="false">$C47*11</f>
        <v>25322</v>
      </c>
      <c r="Q47" s="11" t="n">
        <f aca="false">$C47*12</f>
        <v>27624</v>
      </c>
      <c r="R47" s="11" t="n">
        <f aca="false">$C47*13</f>
        <v>29926</v>
      </c>
      <c r="S47" s="11" t="n">
        <f aca="false">$C47*14</f>
        <v>32228</v>
      </c>
      <c r="T47" s="11" t="n">
        <f aca="false">$C47*15</f>
        <v>34530</v>
      </c>
      <c r="U47" s="11" t="n">
        <f aca="false">$C47*16</f>
        <v>36832</v>
      </c>
      <c r="V47" s="11" t="n">
        <f aca="false">$C47*17</f>
        <v>39134</v>
      </c>
      <c r="W47" s="11" t="n">
        <f aca="false">$C47*18</f>
        <v>41436</v>
      </c>
      <c r="X47" s="11" t="n">
        <f aca="false">$C47*19</f>
        <v>43738</v>
      </c>
      <c r="Y47" s="11" t="n">
        <f aca="false">$C47*20</f>
        <v>46040</v>
      </c>
    </row>
    <row r="48" customFormat="false" ht="15" hidden="false" customHeight="false" outlineLevel="0" collapsed="false">
      <c r="A48" s="0" t="s">
        <v>383</v>
      </c>
      <c r="B48" s="0" t="s">
        <v>384</v>
      </c>
      <c r="C48" s="11" t="n">
        <v>759</v>
      </c>
      <c r="D48" s="0" t="s">
        <v>385</v>
      </c>
      <c r="E48" s="0" t="n">
        <v>416</v>
      </c>
      <c r="F48" s="11" t="n">
        <f aca="false">$C48*1</f>
        <v>759</v>
      </c>
      <c r="G48" s="11" t="n">
        <f aca="false">$C48*2</f>
        <v>1518</v>
      </c>
      <c r="H48" s="11" t="n">
        <f aca="false">$C48*3</f>
        <v>2277</v>
      </c>
      <c r="I48" s="11" t="n">
        <f aca="false">$C48*4</f>
        <v>3036</v>
      </c>
      <c r="J48" s="11" t="n">
        <f aca="false">$C48*5</f>
        <v>3795</v>
      </c>
      <c r="K48" s="11" t="n">
        <f aca="false">$C48*6</f>
        <v>4554</v>
      </c>
      <c r="L48" s="11" t="n">
        <f aca="false">$C48*7</f>
        <v>5313</v>
      </c>
      <c r="M48" s="11" t="n">
        <f aca="false">$C48*8</f>
        <v>6072</v>
      </c>
      <c r="N48" s="11" t="n">
        <f aca="false">$C48*9</f>
        <v>6831</v>
      </c>
      <c r="O48" s="11" t="n">
        <f aca="false">$C48*10</f>
        <v>7590</v>
      </c>
      <c r="P48" s="11" t="n">
        <f aca="false">$C48*11</f>
        <v>8349</v>
      </c>
      <c r="Q48" s="11" t="n">
        <f aca="false">$C48*12</f>
        <v>9108</v>
      </c>
      <c r="R48" s="11" t="n">
        <f aca="false">$C48*13</f>
        <v>9867</v>
      </c>
      <c r="S48" s="11" t="n">
        <f aca="false">$C48*14</f>
        <v>10626</v>
      </c>
      <c r="T48" s="11" t="n">
        <f aca="false">$C48*15</f>
        <v>11385</v>
      </c>
      <c r="U48" s="11" t="n">
        <f aca="false">$C48*16</f>
        <v>12144</v>
      </c>
      <c r="V48" s="11" t="n">
        <f aca="false">$C48*17</f>
        <v>12903</v>
      </c>
      <c r="W48" s="11" t="n">
        <f aca="false">$C48*18</f>
        <v>13662</v>
      </c>
      <c r="X48" s="11" t="n">
        <f aca="false">$C48*19</f>
        <v>14421</v>
      </c>
      <c r="Y48" s="11" t="n">
        <f aca="false">$C48*20</f>
        <v>15180</v>
      </c>
    </row>
    <row r="49" customFormat="false" ht="15" hidden="false" customHeight="false" outlineLevel="0" collapsed="false">
      <c r="A49" s="0" t="s">
        <v>363</v>
      </c>
      <c r="B49" s="0" t="s">
        <v>364</v>
      </c>
      <c r="C49" s="11" t="n">
        <v>1264</v>
      </c>
      <c r="D49" s="0" t="s">
        <v>318</v>
      </c>
      <c r="E49" s="0" t="n">
        <v>299</v>
      </c>
      <c r="F49" s="11" t="n">
        <f aca="false">$C49*1</f>
        <v>1264</v>
      </c>
      <c r="G49" s="11" t="n">
        <f aca="false">$C49*2</f>
        <v>2528</v>
      </c>
      <c r="H49" s="11" t="n">
        <f aca="false">$C49*3</f>
        <v>3792</v>
      </c>
      <c r="I49" s="11" t="n">
        <f aca="false">$C49*4</f>
        <v>5056</v>
      </c>
      <c r="J49" s="11" t="n">
        <f aca="false">$C49*5</f>
        <v>6320</v>
      </c>
      <c r="K49" s="11" t="n">
        <f aca="false">$C49*6</f>
        <v>7584</v>
      </c>
      <c r="L49" s="11" t="n">
        <f aca="false">$C49*7</f>
        <v>8848</v>
      </c>
      <c r="M49" s="11" t="n">
        <f aca="false">$C49*8</f>
        <v>10112</v>
      </c>
      <c r="N49" s="11" t="n">
        <f aca="false">$C49*9</f>
        <v>11376</v>
      </c>
      <c r="O49" s="11" t="n">
        <f aca="false">$C49*10</f>
        <v>12640</v>
      </c>
      <c r="P49" s="11" t="n">
        <f aca="false">$C49*11</f>
        <v>13904</v>
      </c>
      <c r="Q49" s="11" t="n">
        <f aca="false">$C49*12</f>
        <v>15168</v>
      </c>
      <c r="R49" s="11" t="n">
        <f aca="false">$C49*13</f>
        <v>16432</v>
      </c>
      <c r="S49" s="11" t="n">
        <f aca="false">$C49*14</f>
        <v>17696</v>
      </c>
      <c r="T49" s="11" t="n">
        <f aca="false">$C49*15</f>
        <v>18960</v>
      </c>
      <c r="U49" s="11" t="n">
        <f aca="false">$C49*16</f>
        <v>20224</v>
      </c>
      <c r="V49" s="11" t="n">
        <f aca="false">$C49*17</f>
        <v>21488</v>
      </c>
      <c r="W49" s="11" t="n">
        <f aca="false">$C49*18</f>
        <v>22752</v>
      </c>
      <c r="X49" s="11" t="n">
        <f aca="false">$C49*19</f>
        <v>24016</v>
      </c>
      <c r="Y49" s="11" t="n">
        <f aca="false">$C49*20</f>
        <v>25280</v>
      </c>
    </row>
    <row r="50" customFormat="false" ht="15" hidden="false" customHeight="false" outlineLevel="0" collapsed="false">
      <c r="A50" s="0" t="s">
        <v>386</v>
      </c>
      <c r="B50" s="0" t="s">
        <v>387</v>
      </c>
      <c r="C50" s="11" t="n">
        <v>872</v>
      </c>
      <c r="D50" s="0" t="s">
        <v>388</v>
      </c>
      <c r="E50" s="0" t="n">
        <v>52</v>
      </c>
      <c r="F50" s="11" t="n">
        <f aca="false">$C50*1</f>
        <v>872</v>
      </c>
      <c r="G50" s="11" t="n">
        <f aca="false">$C50*2</f>
        <v>1744</v>
      </c>
      <c r="H50" s="11" t="n">
        <f aca="false">$C50*3</f>
        <v>2616</v>
      </c>
      <c r="I50" s="11" t="n">
        <f aca="false">$C50*4</f>
        <v>3488</v>
      </c>
      <c r="J50" s="11" t="n">
        <f aca="false">$C50*5</f>
        <v>4360</v>
      </c>
      <c r="K50" s="11" t="n">
        <f aca="false">$C50*6</f>
        <v>5232</v>
      </c>
      <c r="L50" s="11" t="n">
        <f aca="false">$C50*7</f>
        <v>6104</v>
      </c>
      <c r="M50" s="11" t="n">
        <f aca="false">$C50*8</f>
        <v>6976</v>
      </c>
      <c r="N50" s="11" t="n">
        <f aca="false">$C50*9</f>
        <v>7848</v>
      </c>
      <c r="O50" s="11" t="n">
        <f aca="false">$C50*10</f>
        <v>8720</v>
      </c>
      <c r="P50" s="11" t="n">
        <f aca="false">$C50*11</f>
        <v>9592</v>
      </c>
      <c r="Q50" s="11" t="n">
        <f aca="false">$C50*12</f>
        <v>10464</v>
      </c>
      <c r="R50" s="11" t="n">
        <f aca="false">$C50*13</f>
        <v>11336</v>
      </c>
      <c r="S50" s="11" t="n">
        <f aca="false">$C50*14</f>
        <v>12208</v>
      </c>
      <c r="T50" s="11" t="n">
        <f aca="false">$C50*15</f>
        <v>13080</v>
      </c>
      <c r="U50" s="11" t="n">
        <f aca="false">$C50*16</f>
        <v>13952</v>
      </c>
      <c r="V50" s="11" t="n">
        <f aca="false">$C50*17</f>
        <v>14824</v>
      </c>
      <c r="W50" s="11" t="n">
        <f aca="false">$C50*18</f>
        <v>15696</v>
      </c>
      <c r="X50" s="11" t="n">
        <f aca="false">$C50*19</f>
        <v>16568</v>
      </c>
      <c r="Y50" s="11" t="n">
        <f aca="false">$C50*20</f>
        <v>17440</v>
      </c>
    </row>
    <row r="51" customFormat="false" ht="15" hidden="false" customHeight="false" outlineLevel="0" collapsed="false">
      <c r="A51" s="0" t="s">
        <v>357</v>
      </c>
      <c r="B51" s="0" t="s">
        <v>358</v>
      </c>
      <c r="C51" s="11" t="n">
        <v>1357</v>
      </c>
      <c r="D51" s="0" t="s">
        <v>318</v>
      </c>
      <c r="E51" s="0" t="n">
        <v>60</v>
      </c>
      <c r="F51" s="11" t="n">
        <f aca="false">$C51*1</f>
        <v>1357</v>
      </c>
      <c r="G51" s="11" t="n">
        <f aca="false">$C51*2</f>
        <v>2714</v>
      </c>
      <c r="H51" s="11" t="n">
        <f aca="false">$C51*3</f>
        <v>4071</v>
      </c>
      <c r="I51" s="11" t="n">
        <f aca="false">$C51*4</f>
        <v>5428</v>
      </c>
      <c r="J51" s="11" t="n">
        <f aca="false">$C51*5</f>
        <v>6785</v>
      </c>
      <c r="K51" s="11" t="n">
        <f aca="false">$C51*6</f>
        <v>8142</v>
      </c>
      <c r="L51" s="11" t="n">
        <f aca="false">$C51*7</f>
        <v>9499</v>
      </c>
      <c r="M51" s="11" t="n">
        <f aca="false">$C51*8</f>
        <v>10856</v>
      </c>
      <c r="N51" s="11" t="n">
        <f aca="false">$C51*9</f>
        <v>12213</v>
      </c>
      <c r="O51" s="11" t="n">
        <f aca="false">$C51*10</f>
        <v>13570</v>
      </c>
      <c r="P51" s="11" t="n">
        <f aca="false">$C51*11</f>
        <v>14927</v>
      </c>
      <c r="Q51" s="11" t="n">
        <f aca="false">$C51*12</f>
        <v>16284</v>
      </c>
      <c r="R51" s="11" t="n">
        <f aca="false">$C51*13</f>
        <v>17641</v>
      </c>
      <c r="S51" s="11" t="n">
        <f aca="false">$C51*14</f>
        <v>18998</v>
      </c>
      <c r="T51" s="11" t="n">
        <f aca="false">$C51*15</f>
        <v>20355</v>
      </c>
      <c r="U51" s="11" t="n">
        <f aca="false">$C51*16</f>
        <v>21712</v>
      </c>
      <c r="V51" s="11" t="n">
        <f aca="false">$C51*17</f>
        <v>23069</v>
      </c>
      <c r="W51" s="11" t="n">
        <f aca="false">$C51*18</f>
        <v>24426</v>
      </c>
      <c r="X51" s="11" t="n">
        <f aca="false">$C51*19</f>
        <v>25783</v>
      </c>
      <c r="Y51" s="11" t="n">
        <f aca="false">$C51*20</f>
        <v>27140</v>
      </c>
    </row>
    <row r="52" customFormat="false" ht="15" hidden="false" customHeight="false" outlineLevel="0" collapsed="false">
      <c r="A52" s="0" t="s">
        <v>389</v>
      </c>
      <c r="B52" s="0" t="s">
        <v>390</v>
      </c>
      <c r="C52" s="11" t="n">
        <v>1159</v>
      </c>
      <c r="D52" s="0" t="s">
        <v>318</v>
      </c>
      <c r="E52" s="0" t="n">
        <v>807</v>
      </c>
      <c r="F52" s="11" t="n">
        <f aca="false">$C52*1</f>
        <v>1159</v>
      </c>
      <c r="G52" s="11" t="n">
        <f aca="false">$C52*2</f>
        <v>2318</v>
      </c>
      <c r="H52" s="11" t="n">
        <f aca="false">$C52*3</f>
        <v>3477</v>
      </c>
      <c r="I52" s="11" t="n">
        <f aca="false">$C52*4</f>
        <v>4636</v>
      </c>
      <c r="J52" s="11" t="n">
        <f aca="false">$C52*5</f>
        <v>5795</v>
      </c>
      <c r="K52" s="11" t="n">
        <f aca="false">$C52*6</f>
        <v>6954</v>
      </c>
      <c r="L52" s="11" t="n">
        <f aca="false">$C52*7</f>
        <v>8113</v>
      </c>
      <c r="M52" s="11" t="n">
        <f aca="false">$C52*8</f>
        <v>9272</v>
      </c>
      <c r="N52" s="11" t="n">
        <f aca="false">$C52*9</f>
        <v>10431</v>
      </c>
      <c r="O52" s="11" t="n">
        <f aca="false">$C52*10</f>
        <v>11590</v>
      </c>
      <c r="P52" s="11" t="n">
        <f aca="false">$C52*11</f>
        <v>12749</v>
      </c>
      <c r="Q52" s="11" t="n">
        <f aca="false">$C52*12</f>
        <v>13908</v>
      </c>
      <c r="R52" s="11" t="n">
        <f aca="false">$C52*13</f>
        <v>15067</v>
      </c>
      <c r="S52" s="11" t="n">
        <f aca="false">$C52*14</f>
        <v>16226</v>
      </c>
      <c r="T52" s="11" t="n">
        <f aca="false">$C52*15</f>
        <v>17385</v>
      </c>
      <c r="U52" s="11" t="n">
        <f aca="false">$C52*16</f>
        <v>18544</v>
      </c>
      <c r="V52" s="11" t="n">
        <f aca="false">$C52*17</f>
        <v>19703</v>
      </c>
      <c r="W52" s="11" t="n">
        <f aca="false">$C52*18</f>
        <v>20862</v>
      </c>
      <c r="X52" s="11" t="n">
        <f aca="false">$C52*19</f>
        <v>22021</v>
      </c>
      <c r="Y52" s="11" t="n">
        <f aca="false">$C52*20</f>
        <v>23180</v>
      </c>
    </row>
    <row r="53" customFormat="false" ht="15" hidden="false" customHeight="false" outlineLevel="0" collapsed="false">
      <c r="A53" s="0" t="s">
        <v>391</v>
      </c>
      <c r="B53" s="0" t="s">
        <v>392</v>
      </c>
      <c r="C53" s="11" t="n">
        <v>1339</v>
      </c>
      <c r="D53" s="0" t="s">
        <v>318</v>
      </c>
      <c r="E53" s="0" t="n">
        <v>795</v>
      </c>
      <c r="F53" s="11" t="n">
        <f aca="false">$C53*1</f>
        <v>1339</v>
      </c>
      <c r="G53" s="11" t="n">
        <f aca="false">$C53*2</f>
        <v>2678</v>
      </c>
      <c r="H53" s="11" t="n">
        <f aca="false">$C53*3</f>
        <v>4017</v>
      </c>
      <c r="I53" s="11" t="n">
        <f aca="false">$C53*4</f>
        <v>5356</v>
      </c>
      <c r="J53" s="11" t="n">
        <f aca="false">$C53*5</f>
        <v>6695</v>
      </c>
      <c r="K53" s="11" t="n">
        <f aca="false">$C53*6</f>
        <v>8034</v>
      </c>
      <c r="L53" s="11" t="n">
        <f aca="false">$C53*7</f>
        <v>9373</v>
      </c>
      <c r="M53" s="11" t="n">
        <f aca="false">$C53*8</f>
        <v>10712</v>
      </c>
      <c r="N53" s="11" t="n">
        <f aca="false">$C53*9</f>
        <v>12051</v>
      </c>
      <c r="O53" s="11" t="n">
        <f aca="false">$C53*10</f>
        <v>13390</v>
      </c>
      <c r="P53" s="11" t="n">
        <f aca="false">$C53*11</f>
        <v>14729</v>
      </c>
      <c r="Q53" s="11" t="n">
        <f aca="false">$C53*12</f>
        <v>16068</v>
      </c>
      <c r="R53" s="11" t="n">
        <f aca="false">$C53*13</f>
        <v>17407</v>
      </c>
      <c r="S53" s="11" t="n">
        <f aca="false">$C53*14</f>
        <v>18746</v>
      </c>
      <c r="T53" s="11" t="n">
        <f aca="false">$C53*15</f>
        <v>20085</v>
      </c>
      <c r="U53" s="11" t="n">
        <f aca="false">$C53*16</f>
        <v>21424</v>
      </c>
      <c r="V53" s="11" t="n">
        <f aca="false">$C53*17</f>
        <v>22763</v>
      </c>
      <c r="W53" s="11" t="n">
        <f aca="false">$C53*18</f>
        <v>24102</v>
      </c>
      <c r="X53" s="11" t="n">
        <f aca="false">$C53*19</f>
        <v>25441</v>
      </c>
      <c r="Y53" s="11" t="n">
        <f aca="false">$C53*20</f>
        <v>26780</v>
      </c>
    </row>
    <row r="54" customFormat="false" ht="15" hidden="false" customHeight="false" outlineLevel="0" collapsed="false">
      <c r="A54" s="0" t="s">
        <v>393</v>
      </c>
      <c r="B54" s="0" t="s">
        <v>394</v>
      </c>
      <c r="C54" s="11" t="n">
        <v>1316</v>
      </c>
      <c r="D54" s="0" t="s">
        <v>385</v>
      </c>
      <c r="E54" s="0" t="n">
        <v>160</v>
      </c>
      <c r="F54" s="11" t="n">
        <f aca="false">$C54*1</f>
        <v>1316</v>
      </c>
      <c r="G54" s="11" t="n">
        <f aca="false">$C54*2</f>
        <v>2632</v>
      </c>
      <c r="H54" s="11" t="n">
        <f aca="false">$C54*3</f>
        <v>3948</v>
      </c>
      <c r="I54" s="11" t="n">
        <f aca="false">$C54*4</f>
        <v>5264</v>
      </c>
      <c r="J54" s="11" t="n">
        <f aca="false">$C54*5</f>
        <v>6580</v>
      </c>
      <c r="K54" s="11" t="n">
        <f aca="false">$C54*6</f>
        <v>7896</v>
      </c>
      <c r="L54" s="11" t="n">
        <f aca="false">$C54*7</f>
        <v>9212</v>
      </c>
      <c r="M54" s="11" t="n">
        <f aca="false">$C54*8</f>
        <v>10528</v>
      </c>
      <c r="N54" s="11" t="n">
        <f aca="false">$C54*9</f>
        <v>11844</v>
      </c>
      <c r="O54" s="11" t="n">
        <f aca="false">$C54*10</f>
        <v>13160</v>
      </c>
      <c r="P54" s="11" t="n">
        <f aca="false">$C54*11</f>
        <v>14476</v>
      </c>
      <c r="Q54" s="11" t="n">
        <f aca="false">$C54*12</f>
        <v>15792</v>
      </c>
      <c r="R54" s="11" t="n">
        <f aca="false">$C54*13</f>
        <v>17108</v>
      </c>
      <c r="S54" s="11" t="n">
        <f aca="false">$C54*14</f>
        <v>18424</v>
      </c>
      <c r="T54" s="11" t="n">
        <f aca="false">$C54*15</f>
        <v>19740</v>
      </c>
      <c r="U54" s="11" t="n">
        <f aca="false">$C54*16</f>
        <v>21056</v>
      </c>
      <c r="V54" s="11" t="n">
        <f aca="false">$C54*17</f>
        <v>22372</v>
      </c>
      <c r="W54" s="11" t="n">
        <f aca="false">$C54*18</f>
        <v>23688</v>
      </c>
      <c r="X54" s="11" t="n">
        <f aca="false">$C54*19</f>
        <v>25004</v>
      </c>
      <c r="Y54" s="11" t="n">
        <f aca="false">$C54*20</f>
        <v>26320</v>
      </c>
    </row>
    <row r="55" customFormat="false" ht="15" hidden="false" customHeight="false" outlineLevel="0" collapsed="false">
      <c r="A55" s="0" t="s">
        <v>395</v>
      </c>
      <c r="B55" s="0" t="s">
        <v>396</v>
      </c>
      <c r="C55" s="11" t="n">
        <v>1397</v>
      </c>
      <c r="D55" s="0" t="s">
        <v>318</v>
      </c>
      <c r="E55" s="0" t="n">
        <v>1653</v>
      </c>
      <c r="F55" s="11" t="n">
        <f aca="false">$C55*1</f>
        <v>1397</v>
      </c>
      <c r="G55" s="11" t="n">
        <f aca="false">$C55*2</f>
        <v>2794</v>
      </c>
      <c r="H55" s="11" t="n">
        <f aca="false">$C55*3</f>
        <v>4191</v>
      </c>
      <c r="I55" s="11" t="n">
        <f aca="false">$C55*4</f>
        <v>5588</v>
      </c>
      <c r="J55" s="11" t="n">
        <f aca="false">$C55*5</f>
        <v>6985</v>
      </c>
      <c r="K55" s="11" t="n">
        <f aca="false">$C55*6</f>
        <v>8382</v>
      </c>
      <c r="L55" s="11" t="n">
        <f aca="false">$C55*7</f>
        <v>9779</v>
      </c>
      <c r="M55" s="11" t="n">
        <f aca="false">$C55*8</f>
        <v>11176</v>
      </c>
      <c r="N55" s="11" t="n">
        <f aca="false">$C55*9</f>
        <v>12573</v>
      </c>
      <c r="O55" s="11" t="n">
        <f aca="false">$C55*10</f>
        <v>13970</v>
      </c>
      <c r="P55" s="11" t="n">
        <f aca="false">$C55*11</f>
        <v>15367</v>
      </c>
      <c r="Q55" s="11" t="n">
        <f aca="false">$C55*12</f>
        <v>16764</v>
      </c>
      <c r="R55" s="11" t="n">
        <f aca="false">$C55*13</f>
        <v>18161</v>
      </c>
      <c r="S55" s="11" t="n">
        <f aca="false">$C55*14</f>
        <v>19558</v>
      </c>
      <c r="T55" s="11" t="n">
        <f aca="false">$C55*15</f>
        <v>20955</v>
      </c>
      <c r="U55" s="11" t="n">
        <f aca="false">$C55*16</f>
        <v>22352</v>
      </c>
      <c r="V55" s="11" t="n">
        <f aca="false">$C55*17</f>
        <v>23749</v>
      </c>
      <c r="W55" s="11" t="n">
        <f aca="false">$C55*18</f>
        <v>25146</v>
      </c>
      <c r="X55" s="11" t="n">
        <f aca="false">$C55*19</f>
        <v>26543</v>
      </c>
      <c r="Y55" s="11" t="n">
        <f aca="false">$C55*20</f>
        <v>27940</v>
      </c>
    </row>
    <row r="56" customFormat="false" ht="15" hidden="false" customHeight="false" outlineLevel="0" collapsed="false">
      <c r="A56" s="0" t="s">
        <v>397</v>
      </c>
      <c r="B56" s="0" t="s">
        <v>398</v>
      </c>
      <c r="C56" s="11" t="n">
        <v>1261</v>
      </c>
      <c r="D56" s="0" t="s">
        <v>385</v>
      </c>
      <c r="E56" s="0" t="n">
        <v>593</v>
      </c>
      <c r="F56" s="11" t="n">
        <f aca="false">$C56*1</f>
        <v>1261</v>
      </c>
      <c r="G56" s="11" t="n">
        <f aca="false">$C56*2</f>
        <v>2522</v>
      </c>
      <c r="H56" s="11" t="n">
        <f aca="false">$C56*3</f>
        <v>3783</v>
      </c>
      <c r="I56" s="11" t="n">
        <f aca="false">$C56*4</f>
        <v>5044</v>
      </c>
      <c r="J56" s="11" t="n">
        <f aca="false">$C56*5</f>
        <v>6305</v>
      </c>
      <c r="K56" s="11" t="n">
        <f aca="false">$C56*6</f>
        <v>7566</v>
      </c>
      <c r="L56" s="11" t="n">
        <f aca="false">$C56*7</f>
        <v>8827</v>
      </c>
      <c r="M56" s="11" t="n">
        <f aca="false">$C56*8</f>
        <v>10088</v>
      </c>
      <c r="N56" s="11" t="n">
        <f aca="false">$C56*9</f>
        <v>11349</v>
      </c>
      <c r="O56" s="11" t="n">
        <f aca="false">$C56*10</f>
        <v>12610</v>
      </c>
      <c r="P56" s="11" t="n">
        <f aca="false">$C56*11</f>
        <v>13871</v>
      </c>
      <c r="Q56" s="11" t="n">
        <f aca="false">$C56*12</f>
        <v>15132</v>
      </c>
      <c r="R56" s="11" t="n">
        <f aca="false">$C56*13</f>
        <v>16393</v>
      </c>
      <c r="S56" s="11" t="n">
        <f aca="false">$C56*14</f>
        <v>17654</v>
      </c>
      <c r="T56" s="11" t="n">
        <f aca="false">$C56*15</f>
        <v>18915</v>
      </c>
      <c r="U56" s="11" t="n">
        <f aca="false">$C56*16</f>
        <v>20176</v>
      </c>
      <c r="V56" s="11" t="n">
        <f aca="false">$C56*17</f>
        <v>21437</v>
      </c>
      <c r="W56" s="11" t="n">
        <f aca="false">$C56*18</f>
        <v>22698</v>
      </c>
      <c r="X56" s="11" t="n">
        <f aca="false">$C56*19</f>
        <v>23959</v>
      </c>
      <c r="Y56" s="11" t="n">
        <f aca="false">$C56*20</f>
        <v>25220</v>
      </c>
    </row>
    <row r="57" customFormat="false" ht="15" hidden="false" customHeight="false" outlineLevel="0" collapsed="false">
      <c r="A57" s="0" t="s">
        <v>365</v>
      </c>
      <c r="B57" s="0" t="s">
        <v>366</v>
      </c>
      <c r="C57" s="11" t="n">
        <v>1406</v>
      </c>
      <c r="D57" s="0" t="s">
        <v>318</v>
      </c>
      <c r="E57" s="0" t="n">
        <v>352</v>
      </c>
      <c r="F57" s="11" t="n">
        <f aca="false">$C57*1</f>
        <v>1406</v>
      </c>
      <c r="G57" s="11" t="n">
        <f aca="false">$C57*2</f>
        <v>2812</v>
      </c>
      <c r="H57" s="11" t="n">
        <f aca="false">$C57*3</f>
        <v>4218</v>
      </c>
      <c r="I57" s="11" t="n">
        <f aca="false">$C57*4</f>
        <v>5624</v>
      </c>
      <c r="J57" s="11" t="n">
        <f aca="false">$C57*5</f>
        <v>7030</v>
      </c>
      <c r="K57" s="11" t="n">
        <f aca="false">$C57*6</f>
        <v>8436</v>
      </c>
      <c r="L57" s="11" t="n">
        <f aca="false">$C57*7</f>
        <v>9842</v>
      </c>
      <c r="M57" s="11" t="n">
        <f aca="false">$C57*8</f>
        <v>11248</v>
      </c>
      <c r="N57" s="11" t="n">
        <f aca="false">$C57*9</f>
        <v>12654</v>
      </c>
      <c r="O57" s="11" t="n">
        <f aca="false">$C57*10</f>
        <v>14060</v>
      </c>
      <c r="P57" s="11" t="n">
        <f aca="false">$C57*11</f>
        <v>15466</v>
      </c>
      <c r="Q57" s="11" t="n">
        <f aca="false">$C57*12</f>
        <v>16872</v>
      </c>
      <c r="R57" s="11" t="n">
        <f aca="false">$C57*13</f>
        <v>18278</v>
      </c>
      <c r="S57" s="11" t="n">
        <f aca="false">$C57*14</f>
        <v>19684</v>
      </c>
      <c r="T57" s="11" t="n">
        <f aca="false">$C57*15</f>
        <v>21090</v>
      </c>
      <c r="U57" s="11" t="n">
        <f aca="false">$C57*16</f>
        <v>22496</v>
      </c>
      <c r="V57" s="11" t="n">
        <f aca="false">$C57*17</f>
        <v>23902</v>
      </c>
      <c r="W57" s="11" t="n">
        <f aca="false">$C57*18</f>
        <v>25308</v>
      </c>
      <c r="X57" s="11" t="n">
        <f aca="false">$C57*19</f>
        <v>26714</v>
      </c>
      <c r="Y57" s="11" t="n">
        <f aca="false">$C57*20</f>
        <v>28120</v>
      </c>
    </row>
    <row r="58" customFormat="false" ht="15" hidden="false" customHeight="false" outlineLevel="0" collapsed="false">
      <c r="A58" s="0" t="s">
        <v>367</v>
      </c>
      <c r="B58" s="0" t="s">
        <v>368</v>
      </c>
      <c r="C58" s="11" t="n">
        <v>1140</v>
      </c>
      <c r="D58" s="0" t="s">
        <v>318</v>
      </c>
      <c r="E58" s="0" t="n">
        <v>358</v>
      </c>
      <c r="F58" s="11" t="n">
        <f aca="false">$C58*1</f>
        <v>1140</v>
      </c>
      <c r="G58" s="11" t="n">
        <f aca="false">$C58*2</f>
        <v>2280</v>
      </c>
      <c r="H58" s="11" t="n">
        <f aca="false">$C58*3</f>
        <v>3420</v>
      </c>
      <c r="I58" s="11" t="n">
        <f aca="false">$C58*4</f>
        <v>4560</v>
      </c>
      <c r="J58" s="11" t="n">
        <f aca="false">$C58*5</f>
        <v>5700</v>
      </c>
      <c r="K58" s="11" t="n">
        <f aca="false">$C58*6</f>
        <v>6840</v>
      </c>
      <c r="L58" s="11" t="n">
        <f aca="false">$C58*7</f>
        <v>7980</v>
      </c>
      <c r="M58" s="11" t="n">
        <f aca="false">$C58*8</f>
        <v>9120</v>
      </c>
      <c r="N58" s="11" t="n">
        <f aca="false">$C58*9</f>
        <v>10260</v>
      </c>
      <c r="O58" s="11" t="n">
        <f aca="false">$C58*10</f>
        <v>11400</v>
      </c>
      <c r="P58" s="11" t="n">
        <f aca="false">$C58*11</f>
        <v>12540</v>
      </c>
      <c r="Q58" s="11" t="n">
        <f aca="false">$C58*12</f>
        <v>13680</v>
      </c>
      <c r="R58" s="11" t="n">
        <f aca="false">$C58*13</f>
        <v>14820</v>
      </c>
      <c r="S58" s="11" t="n">
        <f aca="false">$C58*14</f>
        <v>15960</v>
      </c>
      <c r="T58" s="11" t="n">
        <f aca="false">$C58*15</f>
        <v>17100</v>
      </c>
      <c r="U58" s="11" t="n">
        <f aca="false">$C58*16</f>
        <v>18240</v>
      </c>
      <c r="V58" s="11" t="n">
        <f aca="false">$C58*17</f>
        <v>19380</v>
      </c>
      <c r="W58" s="11" t="n">
        <f aca="false">$C58*18</f>
        <v>20520</v>
      </c>
      <c r="X58" s="11" t="n">
        <f aca="false">$C58*19</f>
        <v>21660</v>
      </c>
      <c r="Y58" s="11" t="n">
        <f aca="false">$C58*20</f>
        <v>22800</v>
      </c>
    </row>
    <row r="59" customFormat="false" ht="15" hidden="false" customHeight="false" outlineLevel="0" collapsed="false">
      <c r="A59" s="0" t="s">
        <v>399</v>
      </c>
      <c r="B59" s="0" t="s">
        <v>380</v>
      </c>
      <c r="C59" s="11" t="n">
        <v>781</v>
      </c>
      <c r="D59" s="0" t="s">
        <v>312</v>
      </c>
      <c r="E59" s="0" t="n">
        <v>372</v>
      </c>
      <c r="F59" s="11" t="n">
        <f aca="false">$C59*1</f>
        <v>781</v>
      </c>
      <c r="G59" s="11" t="n">
        <f aca="false">$C59*2</f>
        <v>1562</v>
      </c>
      <c r="H59" s="11" t="n">
        <f aca="false">$C59*3</f>
        <v>2343</v>
      </c>
      <c r="I59" s="11" t="n">
        <f aca="false">$C59*4</f>
        <v>3124</v>
      </c>
      <c r="J59" s="11" t="n">
        <f aca="false">$C59*5</f>
        <v>3905</v>
      </c>
      <c r="K59" s="11" t="n">
        <f aca="false">$C59*6</f>
        <v>4686</v>
      </c>
      <c r="L59" s="11" t="n">
        <f aca="false">$C59*7</f>
        <v>5467</v>
      </c>
      <c r="M59" s="11" t="n">
        <f aca="false">$C59*8</f>
        <v>6248</v>
      </c>
      <c r="N59" s="11" t="n">
        <f aca="false">$C59*9</f>
        <v>7029</v>
      </c>
      <c r="O59" s="11" t="n">
        <f aca="false">$C59*10</f>
        <v>7810</v>
      </c>
      <c r="P59" s="11" t="n">
        <f aca="false">$C59*11</f>
        <v>8591</v>
      </c>
      <c r="Q59" s="11" t="n">
        <f aca="false">$C59*12</f>
        <v>9372</v>
      </c>
      <c r="R59" s="11" t="n">
        <f aca="false">$C59*13</f>
        <v>10153</v>
      </c>
      <c r="S59" s="11" t="n">
        <f aca="false">$C59*14</f>
        <v>10934</v>
      </c>
      <c r="T59" s="11" t="n">
        <f aca="false">$C59*15</f>
        <v>11715</v>
      </c>
      <c r="U59" s="11" t="n">
        <f aca="false">$C59*16</f>
        <v>12496</v>
      </c>
      <c r="V59" s="11" t="n">
        <f aca="false">$C59*17</f>
        <v>13277</v>
      </c>
      <c r="W59" s="11" t="n">
        <f aca="false">$C59*18</f>
        <v>14058</v>
      </c>
      <c r="X59" s="11" t="n">
        <f aca="false">$C59*19</f>
        <v>14839</v>
      </c>
      <c r="Y59" s="11" t="n">
        <f aca="false">$C59*20</f>
        <v>15620</v>
      </c>
    </row>
    <row r="60" customFormat="false" ht="15" hidden="false" customHeight="false" outlineLevel="0" collapsed="false">
      <c r="A60" s="0" t="s">
        <v>400</v>
      </c>
      <c r="B60" s="0" t="s">
        <v>401</v>
      </c>
      <c r="C60" s="11" t="n">
        <v>1384</v>
      </c>
      <c r="D60" s="0" t="s">
        <v>318</v>
      </c>
      <c r="E60" s="0" t="n">
        <v>707</v>
      </c>
      <c r="F60" s="11" t="n">
        <f aca="false">$C60*1</f>
        <v>1384</v>
      </c>
      <c r="G60" s="11" t="n">
        <f aca="false">$C60*2</f>
        <v>2768</v>
      </c>
      <c r="H60" s="11" t="n">
        <f aca="false">$C60*3</f>
        <v>4152</v>
      </c>
      <c r="I60" s="11" t="n">
        <f aca="false">$C60*4</f>
        <v>5536</v>
      </c>
      <c r="J60" s="11" t="n">
        <f aca="false">$C60*5</f>
        <v>6920</v>
      </c>
      <c r="K60" s="11" t="n">
        <f aca="false">$C60*6</f>
        <v>8304</v>
      </c>
      <c r="L60" s="11" t="n">
        <f aca="false">$C60*7</f>
        <v>9688</v>
      </c>
      <c r="M60" s="11" t="n">
        <f aca="false">$C60*8</f>
        <v>11072</v>
      </c>
      <c r="N60" s="11" t="n">
        <f aca="false">$C60*9</f>
        <v>12456</v>
      </c>
      <c r="O60" s="11" t="n">
        <f aca="false">$C60*10</f>
        <v>13840</v>
      </c>
      <c r="P60" s="11" t="n">
        <f aca="false">$C60*11</f>
        <v>15224</v>
      </c>
      <c r="Q60" s="11" t="n">
        <f aca="false">$C60*12</f>
        <v>16608</v>
      </c>
      <c r="R60" s="11" t="n">
        <f aca="false">$C60*13</f>
        <v>17992</v>
      </c>
      <c r="S60" s="11" t="n">
        <f aca="false">$C60*14</f>
        <v>19376</v>
      </c>
      <c r="T60" s="11" t="n">
        <f aca="false">$C60*15</f>
        <v>20760</v>
      </c>
      <c r="U60" s="11" t="n">
        <f aca="false">$C60*16</f>
        <v>22144</v>
      </c>
      <c r="V60" s="11" t="n">
        <f aca="false">$C60*17</f>
        <v>23528</v>
      </c>
      <c r="W60" s="11" t="n">
        <f aca="false">$C60*18</f>
        <v>24912</v>
      </c>
      <c r="X60" s="11" t="n">
        <f aca="false">$C60*19</f>
        <v>26296</v>
      </c>
      <c r="Y60" s="11" t="n">
        <f aca="false">$C60*20</f>
        <v>27680</v>
      </c>
    </row>
    <row r="61" customFormat="false" ht="15" hidden="false" customHeight="false" outlineLevel="0" collapsed="false">
      <c r="A61" s="0" t="s">
        <v>402</v>
      </c>
      <c r="B61" s="0" t="s">
        <v>403</v>
      </c>
      <c r="C61" s="11" t="n">
        <v>1716</v>
      </c>
      <c r="D61" s="0" t="s">
        <v>309</v>
      </c>
      <c r="E61" s="0" t="n">
        <v>887</v>
      </c>
      <c r="F61" s="11" t="n">
        <f aca="false">$C61*1</f>
        <v>1716</v>
      </c>
      <c r="G61" s="11" t="n">
        <f aca="false">$C61*2</f>
        <v>3432</v>
      </c>
      <c r="H61" s="11" t="n">
        <f aca="false">$C61*3</f>
        <v>5148</v>
      </c>
      <c r="I61" s="11" t="n">
        <f aca="false">$C61*4</f>
        <v>6864</v>
      </c>
      <c r="J61" s="11" t="n">
        <f aca="false">$C61*5</f>
        <v>8580</v>
      </c>
      <c r="K61" s="11" t="n">
        <f aca="false">$C61*6</f>
        <v>10296</v>
      </c>
      <c r="L61" s="11" t="n">
        <f aca="false">$C61*7</f>
        <v>12012</v>
      </c>
      <c r="M61" s="11" t="n">
        <f aca="false">$C61*8</f>
        <v>13728</v>
      </c>
      <c r="N61" s="11" t="n">
        <f aca="false">$C61*9</f>
        <v>15444</v>
      </c>
      <c r="O61" s="11" t="n">
        <f aca="false">$C61*10</f>
        <v>17160</v>
      </c>
      <c r="P61" s="11" t="n">
        <f aca="false">$C61*11</f>
        <v>18876</v>
      </c>
      <c r="Q61" s="11" t="n">
        <f aca="false">$C61*12</f>
        <v>20592</v>
      </c>
      <c r="R61" s="11" t="n">
        <f aca="false">$C61*13</f>
        <v>22308</v>
      </c>
      <c r="S61" s="11" t="n">
        <f aca="false">$C61*14</f>
        <v>24024</v>
      </c>
      <c r="T61" s="11" t="n">
        <f aca="false">$C61*15</f>
        <v>25740</v>
      </c>
      <c r="U61" s="11" t="n">
        <f aca="false">$C61*16</f>
        <v>27456</v>
      </c>
      <c r="V61" s="11" t="n">
        <f aca="false">$C61*17</f>
        <v>29172</v>
      </c>
      <c r="W61" s="11" t="n">
        <f aca="false">$C61*18</f>
        <v>30888</v>
      </c>
      <c r="X61" s="11" t="n">
        <f aca="false">$C61*19</f>
        <v>32604</v>
      </c>
      <c r="Y61" s="11" t="n">
        <f aca="false">$C61*20</f>
        <v>34320</v>
      </c>
    </row>
    <row r="62" customFormat="false" ht="15" hidden="false" customHeight="false" outlineLevel="0" collapsed="false">
      <c r="A62" s="0" t="s">
        <v>404</v>
      </c>
      <c r="B62" s="0" t="s">
        <v>405</v>
      </c>
      <c r="C62" s="11" t="n">
        <v>1873</v>
      </c>
      <c r="D62" s="0" t="s">
        <v>318</v>
      </c>
      <c r="E62" s="0" t="n">
        <v>993</v>
      </c>
      <c r="F62" s="11" t="n">
        <f aca="false">$C62*1</f>
        <v>1873</v>
      </c>
      <c r="G62" s="11" t="n">
        <f aca="false">$C62*2</f>
        <v>3746</v>
      </c>
      <c r="H62" s="11" t="n">
        <f aca="false">$C62*3</f>
        <v>5619</v>
      </c>
      <c r="I62" s="11" t="n">
        <f aca="false">$C62*4</f>
        <v>7492</v>
      </c>
      <c r="J62" s="11" t="n">
        <f aca="false">$C62*5</f>
        <v>9365</v>
      </c>
      <c r="K62" s="11" t="n">
        <f aca="false">$C62*6</f>
        <v>11238</v>
      </c>
      <c r="L62" s="11" t="n">
        <f aca="false">$C62*7</f>
        <v>13111</v>
      </c>
      <c r="M62" s="11" t="n">
        <f aca="false">$C62*8</f>
        <v>14984</v>
      </c>
      <c r="N62" s="11" t="n">
        <f aca="false">$C62*9</f>
        <v>16857</v>
      </c>
      <c r="O62" s="11" t="n">
        <f aca="false">$C62*10</f>
        <v>18730</v>
      </c>
      <c r="P62" s="11" t="n">
        <f aca="false">$C62*11</f>
        <v>20603</v>
      </c>
      <c r="Q62" s="11" t="n">
        <f aca="false">$C62*12</f>
        <v>22476</v>
      </c>
      <c r="R62" s="11" t="n">
        <f aca="false">$C62*13</f>
        <v>24349</v>
      </c>
      <c r="S62" s="11" t="n">
        <f aca="false">$C62*14</f>
        <v>26222</v>
      </c>
      <c r="T62" s="11" t="n">
        <f aca="false">$C62*15</f>
        <v>28095</v>
      </c>
      <c r="U62" s="11" t="n">
        <f aca="false">$C62*16</f>
        <v>29968</v>
      </c>
      <c r="V62" s="11" t="n">
        <f aca="false">$C62*17</f>
        <v>31841</v>
      </c>
      <c r="W62" s="11" t="n">
        <f aca="false">$C62*18</f>
        <v>33714</v>
      </c>
      <c r="X62" s="11" t="n">
        <f aca="false">$C62*19</f>
        <v>35587</v>
      </c>
      <c r="Y62" s="11" t="n">
        <f aca="false">$C62*20</f>
        <v>37460</v>
      </c>
    </row>
    <row r="63" customFormat="false" ht="15" hidden="false" customHeight="false" outlineLevel="0" collapsed="false">
      <c r="A63" s="0" t="s">
        <v>406</v>
      </c>
      <c r="B63" s="0" t="s">
        <v>407</v>
      </c>
      <c r="C63" s="11" t="n">
        <v>1018</v>
      </c>
      <c r="D63" s="0" t="s">
        <v>318</v>
      </c>
      <c r="E63" s="0" t="n">
        <v>630</v>
      </c>
      <c r="F63" s="11" t="n">
        <f aca="false">$C63*1</f>
        <v>1018</v>
      </c>
      <c r="G63" s="11" t="n">
        <f aca="false">$C63*2</f>
        <v>2036</v>
      </c>
      <c r="H63" s="11" t="n">
        <f aca="false">$C63*3</f>
        <v>3054</v>
      </c>
      <c r="I63" s="11" t="n">
        <f aca="false">$C63*4</f>
        <v>4072</v>
      </c>
      <c r="J63" s="11" t="n">
        <f aca="false">$C63*5</f>
        <v>5090</v>
      </c>
      <c r="K63" s="11" t="n">
        <f aca="false">$C63*6</f>
        <v>6108</v>
      </c>
      <c r="L63" s="11" t="n">
        <f aca="false">$C63*7</f>
        <v>7126</v>
      </c>
      <c r="M63" s="11" t="n">
        <f aca="false">$C63*8</f>
        <v>8144</v>
      </c>
      <c r="N63" s="11" t="n">
        <f aca="false">$C63*9</f>
        <v>9162</v>
      </c>
      <c r="O63" s="11" t="n">
        <f aca="false">$C63*10</f>
        <v>10180</v>
      </c>
      <c r="P63" s="11" t="n">
        <f aca="false">$C63*11</f>
        <v>11198</v>
      </c>
      <c r="Q63" s="11" t="n">
        <f aca="false">$C63*12</f>
        <v>12216</v>
      </c>
      <c r="R63" s="11" t="n">
        <f aca="false">$C63*13</f>
        <v>13234</v>
      </c>
      <c r="S63" s="11" t="n">
        <f aca="false">$C63*14</f>
        <v>14252</v>
      </c>
      <c r="T63" s="11" t="n">
        <f aca="false">$C63*15</f>
        <v>15270</v>
      </c>
      <c r="U63" s="11" t="n">
        <f aca="false">$C63*16</f>
        <v>16288</v>
      </c>
      <c r="V63" s="11" t="n">
        <f aca="false">$C63*17</f>
        <v>17306</v>
      </c>
      <c r="W63" s="11" t="n">
        <f aca="false">$C63*18</f>
        <v>18324</v>
      </c>
      <c r="X63" s="11" t="n">
        <f aca="false">$C63*19</f>
        <v>19342</v>
      </c>
      <c r="Y63" s="11" t="n">
        <f aca="false">$C63*20</f>
        <v>20360</v>
      </c>
    </row>
    <row r="64" customFormat="false" ht="15" hidden="false" customHeight="false" outlineLevel="0" collapsed="false">
      <c r="A64" s="0" t="s">
        <v>373</v>
      </c>
      <c r="B64" s="0" t="s">
        <v>374</v>
      </c>
      <c r="C64" s="11" t="n">
        <v>1257</v>
      </c>
      <c r="D64" s="0" t="s">
        <v>312</v>
      </c>
      <c r="E64" s="0" t="n">
        <v>1061</v>
      </c>
      <c r="F64" s="11" t="n">
        <f aca="false">$C64*1</f>
        <v>1257</v>
      </c>
      <c r="G64" s="11" t="n">
        <f aca="false">$C64*2</f>
        <v>2514</v>
      </c>
      <c r="H64" s="11" t="n">
        <f aca="false">$C64*3</f>
        <v>3771</v>
      </c>
      <c r="I64" s="11" t="n">
        <f aca="false">$C64*4</f>
        <v>5028</v>
      </c>
      <c r="J64" s="11" t="n">
        <f aca="false">$C64*5</f>
        <v>6285</v>
      </c>
      <c r="K64" s="11" t="n">
        <f aca="false">$C64*6</f>
        <v>7542</v>
      </c>
      <c r="L64" s="11" t="n">
        <f aca="false">$C64*7</f>
        <v>8799</v>
      </c>
      <c r="M64" s="11" t="n">
        <f aca="false">$C64*8</f>
        <v>10056</v>
      </c>
      <c r="N64" s="11" t="n">
        <f aca="false">$C64*9</f>
        <v>11313</v>
      </c>
      <c r="O64" s="11" t="n">
        <f aca="false">$C64*10</f>
        <v>12570</v>
      </c>
      <c r="P64" s="11" t="n">
        <f aca="false">$C64*11</f>
        <v>13827</v>
      </c>
      <c r="Q64" s="11" t="n">
        <f aca="false">$C64*12</f>
        <v>15084</v>
      </c>
      <c r="R64" s="11" t="n">
        <f aca="false">$C64*13</f>
        <v>16341</v>
      </c>
      <c r="S64" s="11" t="n">
        <f aca="false">$C64*14</f>
        <v>17598</v>
      </c>
      <c r="T64" s="11" t="n">
        <f aca="false">$C64*15</f>
        <v>18855</v>
      </c>
      <c r="U64" s="11" t="n">
        <f aca="false">$C64*16</f>
        <v>20112</v>
      </c>
      <c r="V64" s="11" t="n">
        <f aca="false">$C64*17</f>
        <v>21369</v>
      </c>
      <c r="W64" s="11" t="n">
        <f aca="false">$C64*18</f>
        <v>22626</v>
      </c>
      <c r="X64" s="11" t="n">
        <f aca="false">$C64*19</f>
        <v>23883</v>
      </c>
      <c r="Y64" s="11" t="n">
        <f aca="false">$C64*20</f>
        <v>25140</v>
      </c>
    </row>
    <row r="65" customFormat="false" ht="15" hidden="false" customHeight="false" outlineLevel="0" collapsed="false">
      <c r="A65" s="0" t="s">
        <v>408</v>
      </c>
      <c r="B65" s="0" t="s">
        <v>409</v>
      </c>
      <c r="C65" s="11" t="n">
        <v>1140</v>
      </c>
      <c r="D65" s="0" t="s">
        <v>318</v>
      </c>
      <c r="E65" s="0" t="n">
        <v>822</v>
      </c>
      <c r="F65" s="11" t="n">
        <f aca="false">$C65*1</f>
        <v>1140</v>
      </c>
      <c r="G65" s="11" t="n">
        <f aca="false">$C65*2</f>
        <v>2280</v>
      </c>
      <c r="H65" s="11" t="n">
        <f aca="false">$C65*3</f>
        <v>3420</v>
      </c>
      <c r="I65" s="11" t="n">
        <f aca="false">$C65*4</f>
        <v>4560</v>
      </c>
      <c r="J65" s="11" t="n">
        <f aca="false">$C65*5</f>
        <v>5700</v>
      </c>
      <c r="K65" s="11" t="n">
        <f aca="false">$C65*6</f>
        <v>6840</v>
      </c>
      <c r="L65" s="11" t="n">
        <f aca="false">$C65*7</f>
        <v>7980</v>
      </c>
      <c r="M65" s="11" t="n">
        <f aca="false">$C65*8</f>
        <v>9120</v>
      </c>
      <c r="N65" s="11" t="n">
        <f aca="false">$C65*9</f>
        <v>10260</v>
      </c>
      <c r="O65" s="11" t="n">
        <f aca="false">$C65*10</f>
        <v>11400</v>
      </c>
      <c r="P65" s="11" t="n">
        <f aca="false">$C65*11</f>
        <v>12540</v>
      </c>
      <c r="Q65" s="11" t="n">
        <f aca="false">$C65*12</f>
        <v>13680</v>
      </c>
      <c r="R65" s="11" t="n">
        <f aca="false">$C65*13</f>
        <v>14820</v>
      </c>
      <c r="S65" s="11" t="n">
        <f aca="false">$C65*14</f>
        <v>15960</v>
      </c>
      <c r="T65" s="11" t="n">
        <f aca="false">$C65*15</f>
        <v>17100</v>
      </c>
      <c r="U65" s="11" t="n">
        <f aca="false">$C65*16</f>
        <v>18240</v>
      </c>
      <c r="V65" s="11" t="n">
        <f aca="false">$C65*17</f>
        <v>19380</v>
      </c>
      <c r="W65" s="11" t="n">
        <f aca="false">$C65*18</f>
        <v>20520</v>
      </c>
      <c r="X65" s="11" t="n">
        <f aca="false">$C65*19</f>
        <v>21660</v>
      </c>
      <c r="Y65" s="11" t="n">
        <f aca="false">$C65*20</f>
        <v>22800</v>
      </c>
    </row>
    <row r="66" customFormat="false" ht="15" hidden="false" customHeight="false" outlineLevel="0" collapsed="false">
      <c r="A66" s="0" t="s">
        <v>410</v>
      </c>
      <c r="B66" s="0" t="s">
        <v>411</v>
      </c>
      <c r="C66" s="11" t="n">
        <v>670</v>
      </c>
      <c r="D66" s="0" t="s">
        <v>385</v>
      </c>
      <c r="E66" s="0" t="n">
        <v>353</v>
      </c>
      <c r="F66" s="11" t="n">
        <f aca="false">$C66*1</f>
        <v>670</v>
      </c>
      <c r="G66" s="11" t="n">
        <f aca="false">$C66*2</f>
        <v>1340</v>
      </c>
      <c r="H66" s="11" t="n">
        <f aca="false">$C66*3</f>
        <v>2010</v>
      </c>
      <c r="I66" s="11" t="n">
        <f aca="false">$C66*4</f>
        <v>2680</v>
      </c>
      <c r="J66" s="11" t="n">
        <f aca="false">$C66*5</f>
        <v>3350</v>
      </c>
      <c r="K66" s="11" t="n">
        <f aca="false">$C66*6</f>
        <v>4020</v>
      </c>
      <c r="L66" s="11" t="n">
        <f aca="false">$C66*7</f>
        <v>4690</v>
      </c>
      <c r="M66" s="11" t="n">
        <f aca="false">$C66*8</f>
        <v>5360</v>
      </c>
      <c r="N66" s="11" t="n">
        <f aca="false">$C66*9</f>
        <v>6030</v>
      </c>
      <c r="O66" s="11" t="n">
        <f aca="false">$C66*10</f>
        <v>6700</v>
      </c>
      <c r="P66" s="11" t="n">
        <f aca="false">$C66*11</f>
        <v>7370</v>
      </c>
      <c r="Q66" s="11" t="n">
        <f aca="false">$C66*12</f>
        <v>8040</v>
      </c>
      <c r="R66" s="11" t="n">
        <f aca="false">$C66*13</f>
        <v>8710</v>
      </c>
      <c r="S66" s="11" t="n">
        <f aca="false">$C66*14</f>
        <v>9380</v>
      </c>
      <c r="T66" s="11" t="n">
        <f aca="false">$C66*15</f>
        <v>10050</v>
      </c>
      <c r="U66" s="11" t="n">
        <f aca="false">$C66*16</f>
        <v>10720</v>
      </c>
      <c r="V66" s="11" t="n">
        <f aca="false">$C66*17</f>
        <v>11390</v>
      </c>
      <c r="W66" s="11" t="n">
        <f aca="false">$C66*18</f>
        <v>12060</v>
      </c>
      <c r="X66" s="11" t="n">
        <f aca="false">$C66*19</f>
        <v>12730</v>
      </c>
      <c r="Y66" s="11" t="n">
        <f aca="false">$C66*20</f>
        <v>13400</v>
      </c>
    </row>
    <row r="67" customFormat="false" ht="15" hidden="false" customHeight="false" outlineLevel="0" collapsed="false">
      <c r="A67" s="0" t="s">
        <v>412</v>
      </c>
      <c r="B67" s="0" t="s">
        <v>413</v>
      </c>
      <c r="C67" s="11" t="n">
        <v>1077</v>
      </c>
      <c r="D67" s="0" t="s">
        <v>312</v>
      </c>
      <c r="E67" s="0" t="n">
        <v>202</v>
      </c>
      <c r="F67" s="11" t="n">
        <f aca="false">$C67*1</f>
        <v>1077</v>
      </c>
      <c r="G67" s="11" t="n">
        <f aca="false">$C67*2</f>
        <v>2154</v>
      </c>
      <c r="H67" s="11" t="n">
        <f aca="false">$C67*3</f>
        <v>3231</v>
      </c>
      <c r="I67" s="11" t="n">
        <f aca="false">$C67*4</f>
        <v>4308</v>
      </c>
      <c r="J67" s="11" t="n">
        <f aca="false">$C67*5</f>
        <v>5385</v>
      </c>
      <c r="K67" s="11" t="n">
        <f aca="false">$C67*6</f>
        <v>6462</v>
      </c>
      <c r="L67" s="11" t="n">
        <f aca="false">$C67*7</f>
        <v>7539</v>
      </c>
      <c r="M67" s="11" t="n">
        <f aca="false">$C67*8</f>
        <v>8616</v>
      </c>
      <c r="N67" s="11" t="n">
        <f aca="false">$C67*9</f>
        <v>9693</v>
      </c>
      <c r="O67" s="11" t="n">
        <f aca="false">$C67*10</f>
        <v>10770</v>
      </c>
      <c r="P67" s="11" t="n">
        <f aca="false">$C67*11</f>
        <v>11847</v>
      </c>
      <c r="Q67" s="11" t="n">
        <f aca="false">$C67*12</f>
        <v>12924</v>
      </c>
      <c r="R67" s="11" t="n">
        <f aca="false">$C67*13</f>
        <v>14001</v>
      </c>
      <c r="S67" s="11" t="n">
        <f aca="false">$C67*14</f>
        <v>15078</v>
      </c>
      <c r="T67" s="11" t="n">
        <f aca="false">$C67*15</f>
        <v>16155</v>
      </c>
      <c r="U67" s="11" t="n">
        <f aca="false">$C67*16</f>
        <v>17232</v>
      </c>
      <c r="V67" s="11" t="n">
        <f aca="false">$C67*17</f>
        <v>18309</v>
      </c>
      <c r="W67" s="11" t="n">
        <f aca="false">$C67*18</f>
        <v>19386</v>
      </c>
      <c r="X67" s="11" t="n">
        <f aca="false">$C67*19</f>
        <v>20463</v>
      </c>
      <c r="Y67" s="11" t="n">
        <f aca="false">$C67*20</f>
        <v>21540</v>
      </c>
    </row>
    <row r="68" customFormat="false" ht="15" hidden="false" customHeight="false" outlineLevel="0" collapsed="false">
      <c r="A68" s="0" t="s">
        <v>371</v>
      </c>
      <c r="B68" s="0" t="s">
        <v>372</v>
      </c>
      <c r="C68" s="11" t="n">
        <v>1334</v>
      </c>
      <c r="D68" s="0" t="s">
        <v>312</v>
      </c>
      <c r="E68" s="0" t="n">
        <v>332</v>
      </c>
      <c r="F68" s="11" t="n">
        <f aca="false">$C68*1</f>
        <v>1334</v>
      </c>
      <c r="G68" s="11" t="n">
        <f aca="false">$C68*2</f>
        <v>2668</v>
      </c>
      <c r="H68" s="11" t="n">
        <f aca="false">$C68*3</f>
        <v>4002</v>
      </c>
      <c r="I68" s="11" t="n">
        <f aca="false">$C68*4</f>
        <v>5336</v>
      </c>
      <c r="J68" s="11" t="n">
        <f aca="false">$C68*5</f>
        <v>6670</v>
      </c>
      <c r="K68" s="11" t="n">
        <f aca="false">$C68*6</f>
        <v>8004</v>
      </c>
      <c r="L68" s="11" t="n">
        <f aca="false">$C68*7</f>
        <v>9338</v>
      </c>
      <c r="M68" s="11" t="n">
        <f aca="false">$C68*8</f>
        <v>10672</v>
      </c>
      <c r="N68" s="11" t="n">
        <f aca="false">$C68*9</f>
        <v>12006</v>
      </c>
      <c r="O68" s="11" t="n">
        <f aca="false">$C68*10</f>
        <v>13340</v>
      </c>
      <c r="P68" s="11" t="n">
        <f aca="false">$C68*11</f>
        <v>14674</v>
      </c>
      <c r="Q68" s="11" t="n">
        <f aca="false">$C68*12</f>
        <v>16008</v>
      </c>
      <c r="R68" s="11" t="n">
        <f aca="false">$C68*13</f>
        <v>17342</v>
      </c>
      <c r="S68" s="11" t="n">
        <f aca="false">$C68*14</f>
        <v>18676</v>
      </c>
      <c r="T68" s="11" t="n">
        <f aca="false">$C68*15</f>
        <v>20010</v>
      </c>
      <c r="U68" s="11" t="n">
        <f aca="false">$C68*16</f>
        <v>21344</v>
      </c>
      <c r="V68" s="11" t="n">
        <f aca="false">$C68*17</f>
        <v>22678</v>
      </c>
      <c r="W68" s="11" t="n">
        <f aca="false">$C68*18</f>
        <v>24012</v>
      </c>
      <c r="X68" s="11" t="n">
        <f aca="false">$C68*19</f>
        <v>25346</v>
      </c>
      <c r="Y68" s="11" t="n">
        <f aca="false">$C68*20</f>
        <v>26680</v>
      </c>
    </row>
    <row r="69" customFormat="false" ht="15" hidden="false" customHeight="false" outlineLevel="0" collapsed="false">
      <c r="A69" s="0" t="s">
        <v>414</v>
      </c>
      <c r="B69" s="0" t="s">
        <v>415</v>
      </c>
      <c r="C69" s="11" t="n">
        <v>1023</v>
      </c>
      <c r="D69" s="0" t="s">
        <v>312</v>
      </c>
      <c r="E69" s="0" t="n">
        <v>126</v>
      </c>
      <c r="F69" s="11" t="n">
        <f aca="false">$C69*1</f>
        <v>1023</v>
      </c>
      <c r="G69" s="11" t="n">
        <f aca="false">$C69*2</f>
        <v>2046</v>
      </c>
      <c r="H69" s="11" t="n">
        <f aca="false">$C69*3</f>
        <v>3069</v>
      </c>
      <c r="I69" s="11" t="n">
        <f aca="false">$C69*4</f>
        <v>4092</v>
      </c>
      <c r="J69" s="11" t="n">
        <f aca="false">$C69*5</f>
        <v>5115</v>
      </c>
      <c r="K69" s="11" t="n">
        <f aca="false">$C69*6</f>
        <v>6138</v>
      </c>
      <c r="L69" s="11" t="n">
        <f aca="false">$C69*7</f>
        <v>7161</v>
      </c>
      <c r="M69" s="11" t="n">
        <f aca="false">$C69*8</f>
        <v>8184</v>
      </c>
      <c r="N69" s="11" t="n">
        <f aca="false">$C69*9</f>
        <v>9207</v>
      </c>
      <c r="O69" s="11" t="n">
        <f aca="false">$C69*10</f>
        <v>10230</v>
      </c>
      <c r="P69" s="11" t="n">
        <f aca="false">$C69*11</f>
        <v>11253</v>
      </c>
      <c r="Q69" s="11" t="n">
        <f aca="false">$C69*12</f>
        <v>12276</v>
      </c>
      <c r="R69" s="11" t="n">
        <f aca="false">$C69*13</f>
        <v>13299</v>
      </c>
      <c r="S69" s="11" t="n">
        <f aca="false">$C69*14</f>
        <v>14322</v>
      </c>
      <c r="T69" s="11" t="n">
        <f aca="false">$C69*15</f>
        <v>15345</v>
      </c>
      <c r="U69" s="11" t="n">
        <f aca="false">$C69*16</f>
        <v>16368</v>
      </c>
      <c r="V69" s="11" t="n">
        <f aca="false">$C69*17</f>
        <v>17391</v>
      </c>
      <c r="W69" s="11" t="n">
        <f aca="false">$C69*18</f>
        <v>18414</v>
      </c>
      <c r="X69" s="11" t="n">
        <f aca="false">$C69*19</f>
        <v>19437</v>
      </c>
      <c r="Y69" s="11" t="n">
        <f aca="false">$C69*20</f>
        <v>20460</v>
      </c>
    </row>
    <row r="70" customFormat="false" ht="15" hidden="false" customHeight="false" outlineLevel="0" collapsed="false">
      <c r="A70" s="0" t="s">
        <v>416</v>
      </c>
      <c r="B70" s="0" t="s">
        <v>417</v>
      </c>
      <c r="C70" s="11" t="n">
        <v>1344</v>
      </c>
      <c r="D70" s="0" t="s">
        <v>418</v>
      </c>
      <c r="E70" s="0" t="n">
        <v>39</v>
      </c>
      <c r="F70" s="11" t="n">
        <f aca="false">$C70*1</f>
        <v>1344</v>
      </c>
      <c r="G70" s="11" t="n">
        <f aca="false">$C70*2</f>
        <v>2688</v>
      </c>
      <c r="H70" s="11" t="n">
        <f aca="false">$C70*3</f>
        <v>4032</v>
      </c>
      <c r="I70" s="11" t="n">
        <f aca="false">$C70*4</f>
        <v>5376</v>
      </c>
      <c r="J70" s="11" t="n">
        <f aca="false">$C70*5</f>
        <v>6720</v>
      </c>
      <c r="K70" s="11" t="n">
        <f aca="false">$C70*6</f>
        <v>8064</v>
      </c>
      <c r="L70" s="11" t="n">
        <f aca="false">$C70*7</f>
        <v>9408</v>
      </c>
      <c r="M70" s="11" t="n">
        <f aca="false">$C70*8</f>
        <v>10752</v>
      </c>
      <c r="N70" s="11" t="n">
        <f aca="false">$C70*9</f>
        <v>12096</v>
      </c>
      <c r="O70" s="11" t="n">
        <f aca="false">$C70*10</f>
        <v>13440</v>
      </c>
      <c r="P70" s="11" t="n">
        <f aca="false">$C70*11</f>
        <v>14784</v>
      </c>
      <c r="Q70" s="11" t="n">
        <f aca="false">$C70*12</f>
        <v>16128</v>
      </c>
      <c r="R70" s="11" t="n">
        <f aca="false">$C70*13</f>
        <v>17472</v>
      </c>
      <c r="S70" s="11" t="n">
        <f aca="false">$C70*14</f>
        <v>18816</v>
      </c>
      <c r="T70" s="11" t="n">
        <f aca="false">$C70*15</f>
        <v>20160</v>
      </c>
      <c r="U70" s="11" t="n">
        <f aca="false">$C70*16</f>
        <v>21504</v>
      </c>
      <c r="V70" s="11" t="n">
        <f aca="false">$C70*17</f>
        <v>22848</v>
      </c>
      <c r="W70" s="11" t="n">
        <f aca="false">$C70*18</f>
        <v>24192</v>
      </c>
      <c r="X70" s="11" t="n">
        <f aca="false">$C70*19</f>
        <v>25536</v>
      </c>
      <c r="Y70" s="11" t="n">
        <f aca="false">$C70*20</f>
        <v>26880</v>
      </c>
    </row>
    <row r="71" customFormat="false" ht="15" hidden="false" customHeight="false" outlineLevel="0" collapsed="false">
      <c r="A71" s="0" t="s">
        <v>419</v>
      </c>
      <c r="B71" s="0" t="s">
        <v>420</v>
      </c>
      <c r="C71" s="11" t="n">
        <v>1921</v>
      </c>
      <c r="D71" s="0" t="s">
        <v>318</v>
      </c>
      <c r="E71" s="0" t="n">
        <v>318</v>
      </c>
      <c r="F71" s="11" t="n">
        <f aca="false">$C71*1</f>
        <v>1921</v>
      </c>
      <c r="G71" s="11" t="n">
        <f aca="false">$C71*2</f>
        <v>3842</v>
      </c>
      <c r="H71" s="11" t="n">
        <f aca="false">$C71*3</f>
        <v>5763</v>
      </c>
      <c r="I71" s="11" t="n">
        <f aca="false">$C71*4</f>
        <v>7684</v>
      </c>
      <c r="J71" s="11" t="n">
        <f aca="false">$C71*5</f>
        <v>9605</v>
      </c>
      <c r="K71" s="11" t="n">
        <f aca="false">$C71*6</f>
        <v>11526</v>
      </c>
      <c r="L71" s="11" t="n">
        <f aca="false">$C71*7</f>
        <v>13447</v>
      </c>
      <c r="M71" s="11" t="n">
        <f aca="false">$C71*8</f>
        <v>15368</v>
      </c>
      <c r="N71" s="11" t="n">
        <f aca="false">$C71*9</f>
        <v>17289</v>
      </c>
      <c r="O71" s="11" t="n">
        <f aca="false">$C71*10</f>
        <v>19210</v>
      </c>
      <c r="P71" s="11" t="n">
        <f aca="false">$C71*11</f>
        <v>21131</v>
      </c>
      <c r="Q71" s="11" t="n">
        <f aca="false">$C71*12</f>
        <v>23052</v>
      </c>
      <c r="R71" s="11" t="n">
        <f aca="false">$C71*13</f>
        <v>24973</v>
      </c>
      <c r="S71" s="11" t="n">
        <f aca="false">$C71*14</f>
        <v>26894</v>
      </c>
      <c r="T71" s="11" t="n">
        <f aca="false">$C71*15</f>
        <v>28815</v>
      </c>
      <c r="U71" s="11" t="n">
        <f aca="false">$C71*16</f>
        <v>30736</v>
      </c>
      <c r="V71" s="11" t="n">
        <f aca="false">$C71*17</f>
        <v>32657</v>
      </c>
      <c r="W71" s="11" t="n">
        <f aca="false">$C71*18</f>
        <v>34578</v>
      </c>
      <c r="X71" s="11" t="n">
        <f aca="false">$C71*19</f>
        <v>36499</v>
      </c>
      <c r="Y71" s="11" t="n">
        <f aca="false">$C71*20</f>
        <v>38420</v>
      </c>
    </row>
    <row r="72" customFormat="false" ht="15" hidden="false" customHeight="false" outlineLevel="0" collapsed="false">
      <c r="A72" s="0" t="s">
        <v>421</v>
      </c>
      <c r="B72" s="0" t="s">
        <v>422</v>
      </c>
      <c r="C72" s="11" t="n">
        <v>670</v>
      </c>
      <c r="D72" s="0" t="s">
        <v>312</v>
      </c>
      <c r="E72" s="0" t="n">
        <v>432</v>
      </c>
      <c r="F72" s="11" t="n">
        <f aca="false">$C72*1</f>
        <v>670</v>
      </c>
      <c r="G72" s="11" t="n">
        <f aca="false">$C72*2</f>
        <v>1340</v>
      </c>
      <c r="H72" s="11" t="n">
        <f aca="false">$C72*3</f>
        <v>2010</v>
      </c>
      <c r="I72" s="11" t="n">
        <f aca="false">$C72*4</f>
        <v>2680</v>
      </c>
      <c r="J72" s="11" t="n">
        <f aca="false">$C72*5</f>
        <v>3350</v>
      </c>
      <c r="K72" s="11" t="n">
        <f aca="false">$C72*6</f>
        <v>4020</v>
      </c>
      <c r="L72" s="11" t="n">
        <f aca="false">$C72*7</f>
        <v>4690</v>
      </c>
      <c r="M72" s="11" t="n">
        <f aca="false">$C72*8</f>
        <v>5360</v>
      </c>
      <c r="N72" s="11" t="n">
        <f aca="false">$C72*9</f>
        <v>6030</v>
      </c>
      <c r="O72" s="11" t="n">
        <f aca="false">$C72*10</f>
        <v>6700</v>
      </c>
      <c r="P72" s="11" t="n">
        <f aca="false">$C72*11</f>
        <v>7370</v>
      </c>
      <c r="Q72" s="11" t="n">
        <f aca="false">$C72*12</f>
        <v>8040</v>
      </c>
      <c r="R72" s="11" t="n">
        <f aca="false">$C72*13</f>
        <v>8710</v>
      </c>
      <c r="S72" s="11" t="n">
        <f aca="false">$C72*14</f>
        <v>9380</v>
      </c>
      <c r="T72" s="11" t="n">
        <f aca="false">$C72*15</f>
        <v>10050</v>
      </c>
      <c r="U72" s="11" t="n">
        <f aca="false">$C72*16</f>
        <v>10720</v>
      </c>
      <c r="V72" s="11" t="n">
        <f aca="false">$C72*17</f>
        <v>11390</v>
      </c>
      <c r="W72" s="11" t="n">
        <f aca="false">$C72*18</f>
        <v>12060</v>
      </c>
      <c r="X72" s="11" t="n">
        <f aca="false">$C72*19</f>
        <v>12730</v>
      </c>
      <c r="Y72" s="11" t="n">
        <f aca="false">$C72*20</f>
        <v>13400</v>
      </c>
    </row>
    <row r="73" customFormat="false" ht="15" hidden="false" customHeight="false" outlineLevel="0" collapsed="false">
      <c r="A73" s="0" t="s">
        <v>423</v>
      </c>
      <c r="B73" s="0" t="s">
        <v>424</v>
      </c>
      <c r="C73" s="11" t="n">
        <v>649</v>
      </c>
      <c r="D73" s="0" t="s">
        <v>425</v>
      </c>
      <c r="E73" s="0" t="n">
        <v>59</v>
      </c>
      <c r="F73" s="11" t="n">
        <f aca="false">$C73*1</f>
        <v>649</v>
      </c>
      <c r="G73" s="11" t="n">
        <f aca="false">$C73*2</f>
        <v>1298</v>
      </c>
      <c r="H73" s="11" t="n">
        <f aca="false">$C73*3</f>
        <v>1947</v>
      </c>
      <c r="I73" s="11" t="n">
        <f aca="false">$C73*4</f>
        <v>2596</v>
      </c>
      <c r="J73" s="11" t="n">
        <f aca="false">$C73*5</f>
        <v>3245</v>
      </c>
      <c r="K73" s="11" t="n">
        <f aca="false">$C73*6</f>
        <v>3894</v>
      </c>
      <c r="L73" s="11" t="n">
        <f aca="false">$C73*7</f>
        <v>4543</v>
      </c>
      <c r="M73" s="11" t="n">
        <f aca="false">$C73*8</f>
        <v>5192</v>
      </c>
      <c r="N73" s="11" t="n">
        <f aca="false">$C73*9</f>
        <v>5841</v>
      </c>
      <c r="O73" s="11" t="n">
        <f aca="false">$C73*10</f>
        <v>6490</v>
      </c>
      <c r="P73" s="11" t="n">
        <f aca="false">$C73*11</f>
        <v>7139</v>
      </c>
      <c r="Q73" s="11" t="n">
        <f aca="false">$C73*12</f>
        <v>7788</v>
      </c>
      <c r="R73" s="11" t="n">
        <f aca="false">$C73*13</f>
        <v>8437</v>
      </c>
      <c r="S73" s="11" t="n">
        <f aca="false">$C73*14</f>
        <v>9086</v>
      </c>
      <c r="T73" s="11" t="n">
        <f aca="false">$C73*15</f>
        <v>9735</v>
      </c>
      <c r="U73" s="11" t="n">
        <f aca="false">$C73*16</f>
        <v>10384</v>
      </c>
      <c r="V73" s="11" t="n">
        <f aca="false">$C73*17</f>
        <v>11033</v>
      </c>
      <c r="W73" s="11" t="n">
        <f aca="false">$C73*18</f>
        <v>11682</v>
      </c>
      <c r="X73" s="11" t="n">
        <f aca="false">$C73*19</f>
        <v>12331</v>
      </c>
      <c r="Y73" s="11" t="n">
        <f aca="false">$C73*20</f>
        <v>12980</v>
      </c>
    </row>
    <row r="74" customFormat="false" ht="15" hidden="false" customHeight="false" outlineLevel="0" collapsed="false">
      <c r="A74" s="0" t="s">
        <v>426</v>
      </c>
      <c r="B74" s="0" t="s">
        <v>346</v>
      </c>
      <c r="C74" s="11" t="n">
        <v>1095</v>
      </c>
      <c r="D74" s="0" t="s">
        <v>309</v>
      </c>
      <c r="E74" s="0" t="n">
        <v>178</v>
      </c>
      <c r="F74" s="11" t="n">
        <f aca="false">$C74*1</f>
        <v>1095</v>
      </c>
      <c r="G74" s="11" t="n">
        <f aca="false">$C74*2</f>
        <v>2190</v>
      </c>
      <c r="H74" s="11" t="n">
        <f aca="false">$C74*3</f>
        <v>3285</v>
      </c>
      <c r="I74" s="11" t="n">
        <f aca="false">$C74*4</f>
        <v>4380</v>
      </c>
      <c r="J74" s="11" t="n">
        <f aca="false">$C74*5</f>
        <v>5475</v>
      </c>
      <c r="K74" s="11" t="n">
        <f aca="false">$C74*6</f>
        <v>6570</v>
      </c>
      <c r="L74" s="11" t="n">
        <f aca="false">$C74*7</f>
        <v>7665</v>
      </c>
      <c r="M74" s="11" t="n">
        <f aca="false">$C74*8</f>
        <v>8760</v>
      </c>
      <c r="N74" s="11" t="n">
        <f aca="false">$C74*9</f>
        <v>9855</v>
      </c>
      <c r="O74" s="11" t="n">
        <f aca="false">$C74*10</f>
        <v>10950</v>
      </c>
      <c r="P74" s="11" t="n">
        <f aca="false">$C74*11</f>
        <v>12045</v>
      </c>
      <c r="Q74" s="11" t="n">
        <f aca="false">$C74*12</f>
        <v>13140</v>
      </c>
      <c r="R74" s="11" t="n">
        <f aca="false">$C74*13</f>
        <v>14235</v>
      </c>
      <c r="S74" s="11" t="n">
        <f aca="false">$C74*14</f>
        <v>15330</v>
      </c>
      <c r="T74" s="11" t="n">
        <f aca="false">$C74*15</f>
        <v>16425</v>
      </c>
      <c r="U74" s="11" t="n">
        <f aca="false">$C74*16</f>
        <v>17520</v>
      </c>
      <c r="V74" s="11" t="n">
        <f aca="false">$C74*17</f>
        <v>18615</v>
      </c>
      <c r="W74" s="11" t="n">
        <f aca="false">$C74*18</f>
        <v>19710</v>
      </c>
      <c r="X74" s="11" t="n">
        <f aca="false">$C74*19</f>
        <v>20805</v>
      </c>
      <c r="Y74" s="11" t="n">
        <f aca="false">$C74*20</f>
        <v>21900</v>
      </c>
    </row>
    <row r="75" customFormat="false" ht="15" hidden="false" customHeight="false" outlineLevel="0" collapsed="false">
      <c r="A75" s="0" t="s">
        <v>427</v>
      </c>
      <c r="B75" s="0" t="s">
        <v>428</v>
      </c>
      <c r="C75" s="11" t="n">
        <v>1194</v>
      </c>
      <c r="D75" s="0" t="s">
        <v>318</v>
      </c>
      <c r="E75" s="0" t="n">
        <v>854</v>
      </c>
      <c r="F75" s="11" t="n">
        <f aca="false">$C75*1</f>
        <v>1194</v>
      </c>
      <c r="G75" s="11" t="n">
        <f aca="false">$C75*2</f>
        <v>2388</v>
      </c>
      <c r="H75" s="11" t="n">
        <f aca="false">$C75*3</f>
        <v>3582</v>
      </c>
      <c r="I75" s="11" t="n">
        <f aca="false">$C75*4</f>
        <v>4776</v>
      </c>
      <c r="J75" s="11" t="n">
        <f aca="false">$C75*5</f>
        <v>5970</v>
      </c>
      <c r="K75" s="11" t="n">
        <f aca="false">$C75*6</f>
        <v>7164</v>
      </c>
      <c r="L75" s="11" t="n">
        <f aca="false">$C75*7</f>
        <v>8358</v>
      </c>
      <c r="M75" s="11" t="n">
        <f aca="false">$C75*8</f>
        <v>9552</v>
      </c>
      <c r="N75" s="11" t="n">
        <f aca="false">$C75*9</f>
        <v>10746</v>
      </c>
      <c r="O75" s="11" t="n">
        <f aca="false">$C75*10</f>
        <v>11940</v>
      </c>
      <c r="P75" s="11" t="n">
        <f aca="false">$C75*11</f>
        <v>13134</v>
      </c>
      <c r="Q75" s="11" t="n">
        <f aca="false">$C75*12</f>
        <v>14328</v>
      </c>
      <c r="R75" s="11" t="n">
        <f aca="false">$C75*13</f>
        <v>15522</v>
      </c>
      <c r="S75" s="11" t="n">
        <f aca="false">$C75*14</f>
        <v>16716</v>
      </c>
      <c r="T75" s="11" t="n">
        <f aca="false">$C75*15</f>
        <v>17910</v>
      </c>
      <c r="U75" s="11" t="n">
        <f aca="false">$C75*16</f>
        <v>19104</v>
      </c>
      <c r="V75" s="11" t="n">
        <f aca="false">$C75*17</f>
        <v>20298</v>
      </c>
      <c r="W75" s="11" t="n">
        <f aca="false">$C75*18</f>
        <v>21492</v>
      </c>
      <c r="X75" s="11" t="n">
        <f aca="false">$C75*19</f>
        <v>22686</v>
      </c>
      <c r="Y75" s="11" t="n">
        <f aca="false">$C75*20</f>
        <v>23880</v>
      </c>
    </row>
    <row r="76" customFormat="false" ht="15" hidden="false" customHeight="false" outlineLevel="0" collapsed="false">
      <c r="A76" s="0" t="s">
        <v>429</v>
      </c>
      <c r="B76" s="0" t="s">
        <v>430</v>
      </c>
      <c r="C76" s="11" t="n">
        <v>1473</v>
      </c>
      <c r="D76" s="0" t="s">
        <v>312</v>
      </c>
      <c r="E76" s="0" t="n">
        <v>923</v>
      </c>
      <c r="F76" s="11" t="n">
        <f aca="false">$C76*1</f>
        <v>1473</v>
      </c>
      <c r="G76" s="11" t="n">
        <f aca="false">$C76*2</f>
        <v>2946</v>
      </c>
      <c r="H76" s="11" t="n">
        <f aca="false">$C76*3</f>
        <v>4419</v>
      </c>
      <c r="I76" s="11" t="n">
        <f aca="false">$C76*4</f>
        <v>5892</v>
      </c>
      <c r="J76" s="11" t="n">
        <f aca="false">$C76*5</f>
        <v>7365</v>
      </c>
      <c r="K76" s="11" t="n">
        <f aca="false">$C76*6</f>
        <v>8838</v>
      </c>
      <c r="L76" s="11" t="n">
        <f aca="false">$C76*7</f>
        <v>10311</v>
      </c>
      <c r="M76" s="11" t="n">
        <f aca="false">$C76*8</f>
        <v>11784</v>
      </c>
      <c r="N76" s="11" t="n">
        <f aca="false">$C76*9</f>
        <v>13257</v>
      </c>
      <c r="O76" s="11" t="n">
        <f aca="false">$C76*10</f>
        <v>14730</v>
      </c>
      <c r="P76" s="11" t="n">
        <f aca="false">$C76*11</f>
        <v>16203</v>
      </c>
      <c r="Q76" s="11" t="n">
        <f aca="false">$C76*12</f>
        <v>17676</v>
      </c>
      <c r="R76" s="11" t="n">
        <f aca="false">$C76*13</f>
        <v>19149</v>
      </c>
      <c r="S76" s="11" t="n">
        <f aca="false">$C76*14</f>
        <v>20622</v>
      </c>
      <c r="T76" s="11" t="n">
        <f aca="false">$C76*15</f>
        <v>22095</v>
      </c>
      <c r="U76" s="11" t="n">
        <f aca="false">$C76*16</f>
        <v>23568</v>
      </c>
      <c r="V76" s="11" t="n">
        <f aca="false">$C76*17</f>
        <v>25041</v>
      </c>
      <c r="W76" s="11" t="n">
        <f aca="false">$C76*18</f>
        <v>26514</v>
      </c>
      <c r="X76" s="11" t="n">
        <f aca="false">$C76*19</f>
        <v>27987</v>
      </c>
      <c r="Y76" s="11" t="n">
        <f aca="false">$C76*20</f>
        <v>29460</v>
      </c>
    </row>
    <row r="77" customFormat="false" ht="15" hidden="false" customHeight="false" outlineLevel="0" collapsed="false">
      <c r="A77" s="0" t="s">
        <v>431</v>
      </c>
      <c r="B77" s="0" t="s">
        <v>432</v>
      </c>
      <c r="C77" s="11" t="n">
        <v>1452</v>
      </c>
      <c r="D77" s="0" t="s">
        <v>318</v>
      </c>
      <c r="E77" s="0" t="n">
        <v>926</v>
      </c>
      <c r="F77" s="11" t="n">
        <f aca="false">$C77*1</f>
        <v>1452</v>
      </c>
      <c r="G77" s="11" t="n">
        <f aca="false">$C77*2</f>
        <v>2904</v>
      </c>
      <c r="H77" s="11" t="n">
        <f aca="false">$C77*3</f>
        <v>4356</v>
      </c>
      <c r="I77" s="11" t="n">
        <f aca="false">$C77*4</f>
        <v>5808</v>
      </c>
      <c r="J77" s="11" t="n">
        <f aca="false">$C77*5</f>
        <v>7260</v>
      </c>
      <c r="K77" s="11" t="n">
        <f aca="false">$C77*6</f>
        <v>8712</v>
      </c>
      <c r="L77" s="11" t="n">
        <f aca="false">$C77*7</f>
        <v>10164</v>
      </c>
      <c r="M77" s="11" t="n">
        <f aca="false">$C77*8</f>
        <v>11616</v>
      </c>
      <c r="N77" s="11" t="n">
        <f aca="false">$C77*9</f>
        <v>13068</v>
      </c>
      <c r="O77" s="11" t="n">
        <f aca="false">$C77*10</f>
        <v>14520</v>
      </c>
      <c r="P77" s="11" t="n">
        <f aca="false">$C77*11</f>
        <v>15972</v>
      </c>
      <c r="Q77" s="11" t="n">
        <f aca="false">$C77*12</f>
        <v>17424</v>
      </c>
      <c r="R77" s="11" t="n">
        <f aca="false">$C77*13</f>
        <v>18876</v>
      </c>
      <c r="S77" s="11" t="n">
        <f aca="false">$C77*14</f>
        <v>20328</v>
      </c>
      <c r="T77" s="11" t="n">
        <f aca="false">$C77*15</f>
        <v>21780</v>
      </c>
      <c r="U77" s="11" t="n">
        <f aca="false">$C77*16</f>
        <v>23232</v>
      </c>
      <c r="V77" s="11" t="n">
        <f aca="false">$C77*17</f>
        <v>24684</v>
      </c>
      <c r="W77" s="11" t="n">
        <f aca="false">$C77*18</f>
        <v>26136</v>
      </c>
      <c r="X77" s="11" t="n">
        <f aca="false">$C77*19</f>
        <v>27588</v>
      </c>
      <c r="Y77" s="11" t="n">
        <f aca="false">$C77*20</f>
        <v>29040</v>
      </c>
    </row>
    <row r="78" customFormat="false" ht="15" hidden="false" customHeight="false" outlineLevel="0" collapsed="false">
      <c r="A78" s="0" t="s">
        <v>433</v>
      </c>
      <c r="B78" s="0" t="s">
        <v>434</v>
      </c>
      <c r="C78" s="11" t="n">
        <v>1061</v>
      </c>
      <c r="D78" s="0" t="s">
        <v>318</v>
      </c>
      <c r="E78" s="0" t="n">
        <v>38</v>
      </c>
      <c r="F78" s="11" t="n">
        <f aca="false">$C78*1</f>
        <v>1061</v>
      </c>
      <c r="G78" s="11" t="n">
        <f aca="false">$C78*2</f>
        <v>2122</v>
      </c>
      <c r="H78" s="11" t="n">
        <f aca="false">$C78*3</f>
        <v>3183</v>
      </c>
      <c r="I78" s="11" t="n">
        <f aca="false">$C78*4</f>
        <v>4244</v>
      </c>
      <c r="J78" s="11" t="n">
        <f aca="false">$C78*5</f>
        <v>5305</v>
      </c>
      <c r="K78" s="11" t="n">
        <f aca="false">$C78*6</f>
        <v>6366</v>
      </c>
      <c r="L78" s="11" t="n">
        <f aca="false">$C78*7</f>
        <v>7427</v>
      </c>
      <c r="M78" s="11" t="n">
        <f aca="false">$C78*8</f>
        <v>8488</v>
      </c>
      <c r="N78" s="11" t="n">
        <f aca="false">$C78*9</f>
        <v>9549</v>
      </c>
      <c r="O78" s="11" t="n">
        <f aca="false">$C78*10</f>
        <v>10610</v>
      </c>
      <c r="P78" s="11" t="n">
        <f aca="false">$C78*11</f>
        <v>11671</v>
      </c>
      <c r="Q78" s="11" t="n">
        <f aca="false">$C78*12</f>
        <v>12732</v>
      </c>
      <c r="R78" s="11" t="n">
        <f aca="false">$C78*13</f>
        <v>13793</v>
      </c>
      <c r="S78" s="11" t="n">
        <f aca="false">$C78*14</f>
        <v>14854</v>
      </c>
      <c r="T78" s="11" t="n">
        <f aca="false">$C78*15</f>
        <v>15915</v>
      </c>
      <c r="U78" s="11" t="n">
        <f aca="false">$C78*16</f>
        <v>16976</v>
      </c>
      <c r="V78" s="11" t="n">
        <f aca="false">$C78*17</f>
        <v>18037</v>
      </c>
      <c r="W78" s="11" t="n">
        <f aca="false">$C78*18</f>
        <v>19098</v>
      </c>
      <c r="X78" s="11" t="n">
        <f aca="false">$C78*19</f>
        <v>20159</v>
      </c>
      <c r="Y78" s="11" t="n">
        <f aca="false">$C78*20</f>
        <v>21220</v>
      </c>
    </row>
    <row r="79" customFormat="false" ht="15" hidden="false" customHeight="false" outlineLevel="0" collapsed="false">
      <c r="A79" s="0" t="s">
        <v>435</v>
      </c>
      <c r="B79" s="0" t="s">
        <v>436</v>
      </c>
      <c r="C79" s="11" t="n">
        <v>1800</v>
      </c>
      <c r="D79" s="0" t="s">
        <v>318</v>
      </c>
      <c r="E79" s="0" t="n">
        <v>750</v>
      </c>
      <c r="F79" s="11" t="n">
        <f aca="false">$C79*1</f>
        <v>1800</v>
      </c>
      <c r="G79" s="11" t="n">
        <f aca="false">$C79*2</f>
        <v>3600</v>
      </c>
      <c r="H79" s="11" t="n">
        <f aca="false">$C79*3</f>
        <v>5400</v>
      </c>
      <c r="I79" s="11" t="n">
        <f aca="false">$C79*4</f>
        <v>7200</v>
      </c>
      <c r="J79" s="11" t="n">
        <f aca="false">$C79*5</f>
        <v>9000</v>
      </c>
      <c r="K79" s="11" t="n">
        <f aca="false">$C79*6</f>
        <v>10800</v>
      </c>
      <c r="L79" s="11" t="n">
        <f aca="false">$C79*7</f>
        <v>12600</v>
      </c>
      <c r="M79" s="11" t="n">
        <f aca="false">$C79*8</f>
        <v>14400</v>
      </c>
      <c r="N79" s="11" t="n">
        <f aca="false">$C79*9</f>
        <v>16200</v>
      </c>
      <c r="O79" s="11" t="n">
        <f aca="false">$C79*10</f>
        <v>18000</v>
      </c>
      <c r="P79" s="11" t="n">
        <f aca="false">$C79*11</f>
        <v>19800</v>
      </c>
      <c r="Q79" s="11" t="n">
        <f aca="false">$C79*12</f>
        <v>21600</v>
      </c>
      <c r="R79" s="11" t="n">
        <f aca="false">$C79*13</f>
        <v>23400</v>
      </c>
      <c r="S79" s="11" t="n">
        <f aca="false">$C79*14</f>
        <v>25200</v>
      </c>
      <c r="T79" s="11" t="n">
        <f aca="false">$C79*15</f>
        <v>27000</v>
      </c>
      <c r="U79" s="11" t="n">
        <f aca="false">$C79*16</f>
        <v>28800</v>
      </c>
      <c r="V79" s="11" t="n">
        <f aca="false">$C79*17</f>
        <v>30600</v>
      </c>
      <c r="W79" s="11" t="n">
        <f aca="false">$C79*18</f>
        <v>32400</v>
      </c>
      <c r="X79" s="11" t="n">
        <f aca="false">$C79*19</f>
        <v>34200</v>
      </c>
      <c r="Y79" s="11" t="n">
        <f aca="false">$C79*20</f>
        <v>36000</v>
      </c>
    </row>
    <row r="80" customFormat="false" ht="15" hidden="false" customHeight="false" outlineLevel="0" collapsed="false">
      <c r="A80" s="0" t="s">
        <v>437</v>
      </c>
      <c r="B80" s="0" t="s">
        <v>438</v>
      </c>
      <c r="C80" s="11" t="n">
        <v>1164</v>
      </c>
      <c r="D80" s="0" t="s">
        <v>309</v>
      </c>
      <c r="E80" s="0" t="n">
        <v>586</v>
      </c>
      <c r="F80" s="11" t="n">
        <f aca="false">$C80*1</f>
        <v>1164</v>
      </c>
      <c r="G80" s="11" t="n">
        <f aca="false">$C80*2</f>
        <v>2328</v>
      </c>
      <c r="H80" s="11" t="n">
        <f aca="false">$C80*3</f>
        <v>3492</v>
      </c>
      <c r="I80" s="11" t="n">
        <f aca="false">$C80*4</f>
        <v>4656</v>
      </c>
      <c r="J80" s="11" t="n">
        <f aca="false">$C80*5</f>
        <v>5820</v>
      </c>
      <c r="K80" s="11" t="n">
        <f aca="false">$C80*6</f>
        <v>6984</v>
      </c>
      <c r="L80" s="11" t="n">
        <f aca="false">$C80*7</f>
        <v>8148</v>
      </c>
      <c r="M80" s="11" t="n">
        <f aca="false">$C80*8</f>
        <v>9312</v>
      </c>
      <c r="N80" s="11" t="n">
        <f aca="false">$C80*9</f>
        <v>10476</v>
      </c>
      <c r="O80" s="11" t="n">
        <f aca="false">$C80*10</f>
        <v>11640</v>
      </c>
      <c r="P80" s="11" t="n">
        <f aca="false">$C80*11</f>
        <v>12804</v>
      </c>
      <c r="Q80" s="11" t="n">
        <f aca="false">$C80*12</f>
        <v>13968</v>
      </c>
      <c r="R80" s="11" t="n">
        <f aca="false">$C80*13</f>
        <v>15132</v>
      </c>
      <c r="S80" s="11" t="n">
        <f aca="false">$C80*14</f>
        <v>16296</v>
      </c>
      <c r="T80" s="11" t="n">
        <f aca="false">$C80*15</f>
        <v>17460</v>
      </c>
      <c r="U80" s="11" t="n">
        <f aca="false">$C80*16</f>
        <v>18624</v>
      </c>
      <c r="V80" s="11" t="n">
        <f aca="false">$C80*17</f>
        <v>19788</v>
      </c>
      <c r="W80" s="11" t="n">
        <f aca="false">$C80*18</f>
        <v>20952</v>
      </c>
      <c r="X80" s="11" t="n">
        <f aca="false">$C80*19</f>
        <v>22116</v>
      </c>
      <c r="Y80" s="11" t="n">
        <f aca="false">$C80*20</f>
        <v>23280</v>
      </c>
    </row>
    <row r="81" customFormat="false" ht="15" hidden="false" customHeight="false" outlineLevel="0" collapsed="false">
      <c r="A81" s="0" t="s">
        <v>439</v>
      </c>
      <c r="B81" s="0" t="s">
        <v>440</v>
      </c>
      <c r="C81" s="11" t="n">
        <v>1272</v>
      </c>
      <c r="D81" s="0" t="s">
        <v>315</v>
      </c>
      <c r="E81" s="0" t="n">
        <v>588</v>
      </c>
      <c r="F81" s="11" t="n">
        <f aca="false">$C81*1</f>
        <v>1272</v>
      </c>
      <c r="G81" s="11" t="n">
        <f aca="false">$C81*2</f>
        <v>2544</v>
      </c>
      <c r="H81" s="11" t="n">
        <f aca="false">$C81*3</f>
        <v>3816</v>
      </c>
      <c r="I81" s="11" t="n">
        <f aca="false">$C81*4</f>
        <v>5088</v>
      </c>
      <c r="J81" s="11" t="n">
        <f aca="false">$C81*5</f>
        <v>6360</v>
      </c>
      <c r="K81" s="11" t="n">
        <f aca="false">$C81*6</f>
        <v>7632</v>
      </c>
      <c r="L81" s="11" t="n">
        <f aca="false">$C81*7</f>
        <v>8904</v>
      </c>
      <c r="M81" s="11" t="n">
        <f aca="false">$C81*8</f>
        <v>10176</v>
      </c>
      <c r="N81" s="11" t="n">
        <f aca="false">$C81*9</f>
        <v>11448</v>
      </c>
      <c r="O81" s="11" t="n">
        <f aca="false">$C81*10</f>
        <v>12720</v>
      </c>
      <c r="P81" s="11" t="n">
        <f aca="false">$C81*11</f>
        <v>13992</v>
      </c>
      <c r="Q81" s="11" t="n">
        <f aca="false">$C81*12</f>
        <v>15264</v>
      </c>
      <c r="R81" s="11" t="n">
        <f aca="false">$C81*13</f>
        <v>16536</v>
      </c>
      <c r="S81" s="11" t="n">
        <f aca="false">$C81*14</f>
        <v>17808</v>
      </c>
      <c r="T81" s="11" t="n">
        <f aca="false">$C81*15</f>
        <v>19080</v>
      </c>
      <c r="U81" s="11" t="n">
        <f aca="false">$C81*16</f>
        <v>20352</v>
      </c>
      <c r="V81" s="11" t="n">
        <f aca="false">$C81*17</f>
        <v>21624</v>
      </c>
      <c r="W81" s="11" t="n">
        <f aca="false">$C81*18</f>
        <v>22896</v>
      </c>
      <c r="X81" s="11" t="n">
        <f aca="false">$C81*19</f>
        <v>24168</v>
      </c>
      <c r="Y81" s="11" t="n">
        <f aca="false">$C81*20</f>
        <v>25440</v>
      </c>
    </row>
    <row r="82" customFormat="false" ht="15" hidden="false" customHeight="false" outlineLevel="0" collapsed="false">
      <c r="A82" s="0" t="s">
        <v>441</v>
      </c>
      <c r="B82" s="0" t="s">
        <v>442</v>
      </c>
      <c r="C82" s="11" t="n">
        <v>1191</v>
      </c>
      <c r="D82" s="0" t="s">
        <v>312</v>
      </c>
      <c r="E82" s="0" t="n">
        <v>2</v>
      </c>
      <c r="F82" s="11" t="n">
        <f aca="false">$C82*1</f>
        <v>1191</v>
      </c>
      <c r="G82" s="11" t="n">
        <f aca="false">$C82*2</f>
        <v>2382</v>
      </c>
      <c r="H82" s="11" t="n">
        <f aca="false">$C82*3</f>
        <v>3573</v>
      </c>
      <c r="I82" s="11" t="n">
        <f aca="false">$C82*4</f>
        <v>4764</v>
      </c>
      <c r="J82" s="11" t="n">
        <f aca="false">$C82*5</f>
        <v>5955</v>
      </c>
      <c r="K82" s="11" t="n">
        <f aca="false">$C82*6</f>
        <v>7146</v>
      </c>
      <c r="L82" s="11" t="n">
        <f aca="false">$C82*7</f>
        <v>8337</v>
      </c>
      <c r="M82" s="11" t="n">
        <f aca="false">$C82*8</f>
        <v>9528</v>
      </c>
      <c r="N82" s="11" t="n">
        <f aca="false">$C82*9</f>
        <v>10719</v>
      </c>
      <c r="O82" s="11" t="n">
        <f aca="false">$C82*10</f>
        <v>11910</v>
      </c>
      <c r="P82" s="11" t="n">
        <f aca="false">$C82*11</f>
        <v>13101</v>
      </c>
      <c r="Q82" s="11" t="n">
        <f aca="false">$C82*12</f>
        <v>14292</v>
      </c>
      <c r="R82" s="11" t="n">
        <f aca="false">$C82*13</f>
        <v>15483</v>
      </c>
      <c r="S82" s="11" t="n">
        <f aca="false">$C82*14</f>
        <v>16674</v>
      </c>
      <c r="T82" s="11" t="n">
        <f aca="false">$C82*15</f>
        <v>17865</v>
      </c>
      <c r="U82" s="11" t="n">
        <f aca="false">$C82*16</f>
        <v>19056</v>
      </c>
      <c r="V82" s="11" t="n">
        <f aca="false">$C82*17</f>
        <v>20247</v>
      </c>
      <c r="W82" s="11" t="n">
        <f aca="false">$C82*18</f>
        <v>21438</v>
      </c>
      <c r="X82" s="11" t="n">
        <f aca="false">$C82*19</f>
        <v>22629</v>
      </c>
      <c r="Y82" s="11" t="n">
        <f aca="false">$C82*20</f>
        <v>23820</v>
      </c>
    </row>
    <row r="83" customFormat="false" ht="15" hidden="false" customHeight="false" outlineLevel="0" collapsed="false">
      <c r="A83" s="0" t="s">
        <v>443</v>
      </c>
      <c r="B83" s="0" t="s">
        <v>444</v>
      </c>
      <c r="C83" s="11" t="n">
        <v>1517</v>
      </c>
      <c r="D83" s="0" t="s">
        <v>318</v>
      </c>
      <c r="E83" s="0" t="n">
        <v>675</v>
      </c>
      <c r="F83" s="11" t="n">
        <f aca="false">$C83*1</f>
        <v>1517</v>
      </c>
      <c r="G83" s="11" t="n">
        <f aca="false">$C83*2</f>
        <v>3034</v>
      </c>
      <c r="H83" s="11" t="n">
        <f aca="false">$C83*3</f>
        <v>4551</v>
      </c>
      <c r="I83" s="11" t="n">
        <f aca="false">$C83*4</f>
        <v>6068</v>
      </c>
      <c r="J83" s="11" t="n">
        <f aca="false">$C83*5</f>
        <v>7585</v>
      </c>
      <c r="K83" s="11" t="n">
        <f aca="false">$C83*6</f>
        <v>9102</v>
      </c>
      <c r="L83" s="11" t="n">
        <f aca="false">$C83*7</f>
        <v>10619</v>
      </c>
      <c r="M83" s="11" t="n">
        <f aca="false">$C83*8</f>
        <v>12136</v>
      </c>
      <c r="N83" s="11" t="n">
        <f aca="false">$C83*9</f>
        <v>13653</v>
      </c>
      <c r="O83" s="11" t="n">
        <f aca="false">$C83*10</f>
        <v>15170</v>
      </c>
      <c r="P83" s="11" t="n">
        <f aca="false">$C83*11</f>
        <v>16687</v>
      </c>
      <c r="Q83" s="11" t="n">
        <f aca="false">$C83*12</f>
        <v>18204</v>
      </c>
      <c r="R83" s="11" t="n">
        <f aca="false">$C83*13</f>
        <v>19721</v>
      </c>
      <c r="S83" s="11" t="n">
        <f aca="false">$C83*14</f>
        <v>21238</v>
      </c>
      <c r="T83" s="11" t="n">
        <f aca="false">$C83*15</f>
        <v>22755</v>
      </c>
      <c r="U83" s="11" t="n">
        <f aca="false">$C83*16</f>
        <v>24272</v>
      </c>
      <c r="V83" s="11" t="n">
        <f aca="false">$C83*17</f>
        <v>25789</v>
      </c>
      <c r="W83" s="11" t="n">
        <f aca="false">$C83*18</f>
        <v>27306</v>
      </c>
      <c r="X83" s="11" t="n">
        <f aca="false">$C83*19</f>
        <v>28823</v>
      </c>
      <c r="Y83" s="11" t="n">
        <f aca="false">$C83*20</f>
        <v>30340</v>
      </c>
    </row>
    <row r="84" customFormat="false" ht="15" hidden="false" customHeight="false" outlineLevel="0" collapsed="false">
      <c r="A84" s="0" t="s">
        <v>445</v>
      </c>
      <c r="B84" s="0" t="s">
        <v>446</v>
      </c>
      <c r="C84" s="11" t="n">
        <v>1050</v>
      </c>
      <c r="D84" s="0" t="s">
        <v>309</v>
      </c>
      <c r="E84" s="0" t="n">
        <v>240</v>
      </c>
      <c r="F84" s="11" t="n">
        <f aca="false">$C84*1</f>
        <v>1050</v>
      </c>
      <c r="G84" s="11" t="n">
        <f aca="false">$C84*2</f>
        <v>2100</v>
      </c>
      <c r="H84" s="11" t="n">
        <f aca="false">$C84*3</f>
        <v>3150</v>
      </c>
      <c r="I84" s="11" t="n">
        <f aca="false">$C84*4</f>
        <v>4200</v>
      </c>
      <c r="J84" s="11" t="n">
        <f aca="false">$C84*5</f>
        <v>5250</v>
      </c>
      <c r="K84" s="11" t="n">
        <f aca="false">$C84*6</f>
        <v>6300</v>
      </c>
      <c r="L84" s="11" t="n">
        <f aca="false">$C84*7</f>
        <v>7350</v>
      </c>
      <c r="M84" s="11" t="n">
        <f aca="false">$C84*8</f>
        <v>8400</v>
      </c>
      <c r="N84" s="11" t="n">
        <f aca="false">$C84*9</f>
        <v>9450</v>
      </c>
      <c r="O84" s="11" t="n">
        <f aca="false">$C84*10</f>
        <v>10500</v>
      </c>
      <c r="P84" s="11" t="n">
        <f aca="false">$C84*11</f>
        <v>11550</v>
      </c>
      <c r="Q84" s="11" t="n">
        <f aca="false">$C84*12</f>
        <v>12600</v>
      </c>
      <c r="R84" s="11" t="n">
        <f aca="false">$C84*13</f>
        <v>13650</v>
      </c>
      <c r="S84" s="11" t="n">
        <f aca="false">$C84*14</f>
        <v>14700</v>
      </c>
      <c r="T84" s="11" t="n">
        <f aca="false">$C84*15</f>
        <v>15750</v>
      </c>
      <c r="U84" s="11" t="n">
        <f aca="false">$C84*16</f>
        <v>16800</v>
      </c>
      <c r="V84" s="11" t="n">
        <f aca="false">$C84*17</f>
        <v>17850</v>
      </c>
      <c r="W84" s="11" t="n">
        <f aca="false">$C84*18</f>
        <v>18900</v>
      </c>
      <c r="X84" s="11" t="n">
        <f aca="false">$C84*19</f>
        <v>19950</v>
      </c>
      <c r="Y84" s="11" t="n">
        <f aca="false">$C84*20</f>
        <v>21000</v>
      </c>
    </row>
    <row r="85" customFormat="false" ht="15" hidden="false" customHeight="false" outlineLevel="0" collapsed="false">
      <c r="A85" s="0" t="s">
        <v>447</v>
      </c>
      <c r="B85" s="0" t="s">
        <v>448</v>
      </c>
      <c r="C85" s="11" t="n">
        <v>2061</v>
      </c>
      <c r="D85" s="0" t="s">
        <v>318</v>
      </c>
      <c r="E85" s="0" t="n">
        <v>917</v>
      </c>
      <c r="F85" s="11" t="n">
        <f aca="false">$C85*1</f>
        <v>2061</v>
      </c>
      <c r="G85" s="11" t="n">
        <f aca="false">$C85*2</f>
        <v>4122</v>
      </c>
      <c r="H85" s="11" t="n">
        <f aca="false">$C85*3</f>
        <v>6183</v>
      </c>
      <c r="I85" s="11" t="n">
        <f aca="false">$C85*4</f>
        <v>8244</v>
      </c>
      <c r="J85" s="11" t="n">
        <f aca="false">$C85*5</f>
        <v>10305</v>
      </c>
      <c r="K85" s="11" t="n">
        <f aca="false">$C85*6</f>
        <v>12366</v>
      </c>
      <c r="L85" s="11" t="n">
        <f aca="false">$C85*7</f>
        <v>14427</v>
      </c>
      <c r="M85" s="11" t="n">
        <f aca="false">$C85*8</f>
        <v>16488</v>
      </c>
      <c r="N85" s="11" t="n">
        <f aca="false">$C85*9</f>
        <v>18549</v>
      </c>
      <c r="O85" s="11" t="n">
        <f aca="false">$C85*10</f>
        <v>20610</v>
      </c>
      <c r="P85" s="11" t="n">
        <f aca="false">$C85*11</f>
        <v>22671</v>
      </c>
      <c r="Q85" s="11" t="n">
        <f aca="false">$C85*12</f>
        <v>24732</v>
      </c>
      <c r="R85" s="11" t="n">
        <f aca="false">$C85*13</f>
        <v>26793</v>
      </c>
      <c r="S85" s="11" t="n">
        <f aca="false">$C85*14</f>
        <v>28854</v>
      </c>
      <c r="T85" s="11" t="n">
        <f aca="false">$C85*15</f>
        <v>30915</v>
      </c>
      <c r="U85" s="11" t="n">
        <f aca="false">$C85*16</f>
        <v>32976</v>
      </c>
      <c r="V85" s="11" t="n">
        <f aca="false">$C85*17</f>
        <v>35037</v>
      </c>
      <c r="W85" s="11" t="n">
        <f aca="false">$C85*18</f>
        <v>37098</v>
      </c>
      <c r="X85" s="11" t="n">
        <f aca="false">$C85*19</f>
        <v>39159</v>
      </c>
      <c r="Y85" s="11" t="n">
        <f aca="false">$C85*20</f>
        <v>41220</v>
      </c>
    </row>
    <row r="86" customFormat="false" ht="15" hidden="false" customHeight="false" outlineLevel="0" collapsed="false">
      <c r="A86" s="0" t="s">
        <v>361</v>
      </c>
      <c r="B86" s="0" t="s">
        <v>362</v>
      </c>
      <c r="C86" s="11" t="n">
        <v>1351</v>
      </c>
      <c r="D86" s="0" t="s">
        <v>312</v>
      </c>
      <c r="E86" s="0" t="n">
        <v>1393</v>
      </c>
      <c r="F86" s="11" t="n">
        <f aca="false">$C86*1</f>
        <v>1351</v>
      </c>
      <c r="G86" s="11" t="n">
        <f aca="false">$C86*2</f>
        <v>2702</v>
      </c>
      <c r="H86" s="11" t="n">
        <f aca="false">$C86*3</f>
        <v>4053</v>
      </c>
      <c r="I86" s="11" t="n">
        <f aca="false">$C86*4</f>
        <v>5404</v>
      </c>
      <c r="J86" s="11" t="n">
        <f aca="false">$C86*5</f>
        <v>6755</v>
      </c>
      <c r="K86" s="11" t="n">
        <f aca="false">$C86*6</f>
        <v>8106</v>
      </c>
      <c r="L86" s="11" t="n">
        <f aca="false">$C86*7</f>
        <v>9457</v>
      </c>
      <c r="M86" s="11" t="n">
        <f aca="false">$C86*8</f>
        <v>10808</v>
      </c>
      <c r="N86" s="11" t="n">
        <f aca="false">$C86*9</f>
        <v>12159</v>
      </c>
      <c r="O86" s="11" t="n">
        <f aca="false">$C86*10</f>
        <v>13510</v>
      </c>
      <c r="P86" s="11" t="n">
        <f aca="false">$C86*11</f>
        <v>14861</v>
      </c>
      <c r="Q86" s="11" t="n">
        <f aca="false">$C86*12</f>
        <v>16212</v>
      </c>
      <c r="R86" s="11" t="n">
        <f aca="false">$C86*13</f>
        <v>17563</v>
      </c>
      <c r="S86" s="11" t="n">
        <f aca="false">$C86*14</f>
        <v>18914</v>
      </c>
      <c r="T86" s="11" t="n">
        <f aca="false">$C86*15</f>
        <v>20265</v>
      </c>
      <c r="U86" s="11" t="n">
        <f aca="false">$C86*16</f>
        <v>21616</v>
      </c>
      <c r="V86" s="11" t="n">
        <f aca="false">$C86*17</f>
        <v>22967</v>
      </c>
      <c r="W86" s="11" t="n">
        <f aca="false">$C86*18</f>
        <v>24318</v>
      </c>
      <c r="X86" s="11" t="n">
        <f aca="false">$C86*19</f>
        <v>25669</v>
      </c>
      <c r="Y86" s="11" t="n">
        <f aca="false">$C86*20</f>
        <v>27020</v>
      </c>
    </row>
    <row r="87" customFormat="false" ht="15" hidden="false" customHeight="false" outlineLevel="0" collapsed="false">
      <c r="A87" s="0" t="s">
        <v>449</v>
      </c>
      <c r="B87" s="0" t="s">
        <v>450</v>
      </c>
      <c r="C87" s="11" t="n">
        <v>1262</v>
      </c>
      <c r="D87" s="0" t="s">
        <v>309</v>
      </c>
      <c r="E87" s="0" t="n">
        <v>225</v>
      </c>
      <c r="F87" s="11" t="n">
        <f aca="false">$C87*1</f>
        <v>1262</v>
      </c>
      <c r="G87" s="11" t="n">
        <f aca="false">$C87*2</f>
        <v>2524</v>
      </c>
      <c r="H87" s="11" t="n">
        <f aca="false">$C87*3</f>
        <v>3786</v>
      </c>
      <c r="I87" s="11" t="n">
        <f aca="false">$C87*4</f>
        <v>5048</v>
      </c>
      <c r="J87" s="11" t="n">
        <f aca="false">$C87*5</f>
        <v>6310</v>
      </c>
      <c r="K87" s="11" t="n">
        <f aca="false">$C87*6</f>
        <v>7572</v>
      </c>
      <c r="L87" s="11" t="n">
        <f aca="false">$C87*7</f>
        <v>8834</v>
      </c>
      <c r="M87" s="11" t="n">
        <f aca="false">$C87*8</f>
        <v>10096</v>
      </c>
      <c r="N87" s="11" t="n">
        <f aca="false">$C87*9</f>
        <v>11358</v>
      </c>
      <c r="O87" s="11" t="n">
        <f aca="false">$C87*10</f>
        <v>12620</v>
      </c>
      <c r="P87" s="11" t="n">
        <f aca="false">$C87*11</f>
        <v>13882</v>
      </c>
      <c r="Q87" s="11" t="n">
        <f aca="false">$C87*12</f>
        <v>15144</v>
      </c>
      <c r="R87" s="11" t="n">
        <f aca="false">$C87*13</f>
        <v>16406</v>
      </c>
      <c r="S87" s="11" t="n">
        <f aca="false">$C87*14</f>
        <v>17668</v>
      </c>
      <c r="T87" s="11" t="n">
        <f aca="false">$C87*15</f>
        <v>18930</v>
      </c>
      <c r="U87" s="11" t="n">
        <f aca="false">$C87*16</f>
        <v>20192</v>
      </c>
      <c r="V87" s="11" t="n">
        <f aca="false">$C87*17</f>
        <v>21454</v>
      </c>
      <c r="W87" s="11" t="n">
        <f aca="false">$C87*18</f>
        <v>22716</v>
      </c>
      <c r="X87" s="11" t="n">
        <f aca="false">$C87*19</f>
        <v>23978</v>
      </c>
      <c r="Y87" s="11" t="n">
        <f aca="false">$C87*20</f>
        <v>25240</v>
      </c>
    </row>
    <row r="88" customFormat="false" ht="15" hidden="false" customHeight="false" outlineLevel="0" collapsed="false">
      <c r="A88" s="0" t="s">
        <v>451</v>
      </c>
      <c r="B88" s="0" t="s">
        <v>452</v>
      </c>
      <c r="C88" s="11" t="n">
        <v>1628</v>
      </c>
      <c r="D88" s="0" t="s">
        <v>318</v>
      </c>
      <c r="E88" s="0" t="n">
        <v>102</v>
      </c>
      <c r="F88" s="11" t="n">
        <f aca="false">$C88*1</f>
        <v>1628</v>
      </c>
      <c r="G88" s="11" t="n">
        <f aca="false">$C88*2</f>
        <v>3256</v>
      </c>
      <c r="H88" s="11" t="n">
        <f aca="false">$C88*3</f>
        <v>4884</v>
      </c>
      <c r="I88" s="11" t="n">
        <f aca="false">$C88*4</f>
        <v>6512</v>
      </c>
      <c r="J88" s="11" t="n">
        <f aca="false">$C88*5</f>
        <v>8140</v>
      </c>
      <c r="K88" s="11" t="n">
        <f aca="false">$C88*6</f>
        <v>9768</v>
      </c>
      <c r="L88" s="11" t="n">
        <f aca="false">$C88*7</f>
        <v>11396</v>
      </c>
      <c r="M88" s="11" t="n">
        <f aca="false">$C88*8</f>
        <v>13024</v>
      </c>
      <c r="N88" s="11" t="n">
        <f aca="false">$C88*9</f>
        <v>14652</v>
      </c>
      <c r="O88" s="11" t="n">
        <f aca="false">$C88*10</f>
        <v>16280</v>
      </c>
      <c r="P88" s="11" t="n">
        <f aca="false">$C88*11</f>
        <v>17908</v>
      </c>
      <c r="Q88" s="11" t="n">
        <f aca="false">$C88*12</f>
        <v>19536</v>
      </c>
      <c r="R88" s="11" t="n">
        <f aca="false">$C88*13</f>
        <v>21164</v>
      </c>
      <c r="S88" s="11" t="n">
        <f aca="false">$C88*14</f>
        <v>22792</v>
      </c>
      <c r="T88" s="11" t="n">
        <f aca="false">$C88*15</f>
        <v>24420</v>
      </c>
      <c r="U88" s="11" t="n">
        <f aca="false">$C88*16</f>
        <v>26048</v>
      </c>
      <c r="V88" s="11" t="n">
        <f aca="false">$C88*17</f>
        <v>27676</v>
      </c>
      <c r="W88" s="11" t="n">
        <f aca="false">$C88*18</f>
        <v>29304</v>
      </c>
      <c r="X88" s="11" t="n">
        <f aca="false">$C88*19</f>
        <v>30932</v>
      </c>
      <c r="Y88" s="11" t="n">
        <f aca="false">$C88*20</f>
        <v>32560</v>
      </c>
    </row>
    <row r="89" customFormat="false" ht="15" hidden="false" customHeight="false" outlineLevel="0" collapsed="false">
      <c r="A89" s="0" t="s">
        <v>453</v>
      </c>
      <c r="B89" s="0" t="s">
        <v>454</v>
      </c>
      <c r="C89" s="11" t="n">
        <v>977</v>
      </c>
      <c r="D89" s="0" t="s">
        <v>312</v>
      </c>
      <c r="E89" s="0" t="n">
        <v>179</v>
      </c>
      <c r="F89" s="11" t="n">
        <f aca="false">$C89*1</f>
        <v>977</v>
      </c>
      <c r="G89" s="11" t="n">
        <f aca="false">$C89*2</f>
        <v>1954</v>
      </c>
      <c r="H89" s="11" t="n">
        <f aca="false">$C89*3</f>
        <v>2931</v>
      </c>
      <c r="I89" s="11" t="n">
        <f aca="false">$C89*4</f>
        <v>3908</v>
      </c>
      <c r="J89" s="11" t="n">
        <f aca="false">$C89*5</f>
        <v>4885</v>
      </c>
      <c r="K89" s="11" t="n">
        <f aca="false">$C89*6</f>
        <v>5862</v>
      </c>
      <c r="L89" s="11" t="n">
        <f aca="false">$C89*7</f>
        <v>6839</v>
      </c>
      <c r="M89" s="11" t="n">
        <f aca="false">$C89*8</f>
        <v>7816</v>
      </c>
      <c r="N89" s="11" t="n">
        <f aca="false">$C89*9</f>
        <v>8793</v>
      </c>
      <c r="O89" s="11" t="n">
        <f aca="false">$C89*10</f>
        <v>9770</v>
      </c>
      <c r="P89" s="11" t="n">
        <f aca="false">$C89*11</f>
        <v>10747</v>
      </c>
      <c r="Q89" s="11" t="n">
        <f aca="false">$C89*12</f>
        <v>11724</v>
      </c>
      <c r="R89" s="11" t="n">
        <f aca="false">$C89*13</f>
        <v>12701</v>
      </c>
      <c r="S89" s="11" t="n">
        <f aca="false">$C89*14</f>
        <v>13678</v>
      </c>
      <c r="T89" s="11" t="n">
        <f aca="false">$C89*15</f>
        <v>14655</v>
      </c>
      <c r="U89" s="11" t="n">
        <f aca="false">$C89*16</f>
        <v>15632</v>
      </c>
      <c r="V89" s="11" t="n">
        <f aca="false">$C89*17</f>
        <v>16609</v>
      </c>
      <c r="W89" s="11" t="n">
        <f aca="false">$C89*18</f>
        <v>17586</v>
      </c>
      <c r="X89" s="11" t="n">
        <f aca="false">$C89*19</f>
        <v>18563</v>
      </c>
      <c r="Y89" s="11" t="n">
        <f aca="false">$C89*20</f>
        <v>19540</v>
      </c>
    </row>
    <row r="90" customFormat="false" ht="15" hidden="false" customHeight="false" outlineLevel="0" collapsed="false">
      <c r="A90" s="0" t="s">
        <v>455</v>
      </c>
      <c r="B90" s="0" t="s">
        <v>387</v>
      </c>
      <c r="C90" s="11" t="n">
        <v>981</v>
      </c>
      <c r="D90" s="0" t="s">
        <v>312</v>
      </c>
      <c r="E90" s="0" t="n">
        <v>6</v>
      </c>
      <c r="F90" s="11" t="n">
        <f aca="false">$C90*1</f>
        <v>981</v>
      </c>
      <c r="G90" s="11" t="n">
        <f aca="false">$C90*2</f>
        <v>1962</v>
      </c>
      <c r="H90" s="11" t="n">
        <f aca="false">$C90*3</f>
        <v>2943</v>
      </c>
      <c r="I90" s="11" t="n">
        <f aca="false">$C90*4</f>
        <v>3924</v>
      </c>
      <c r="J90" s="11" t="n">
        <f aca="false">$C90*5</f>
        <v>4905</v>
      </c>
      <c r="K90" s="11" t="n">
        <f aca="false">$C90*6</f>
        <v>5886</v>
      </c>
      <c r="L90" s="11" t="n">
        <f aca="false">$C90*7</f>
        <v>6867</v>
      </c>
      <c r="M90" s="11" t="n">
        <f aca="false">$C90*8</f>
        <v>7848</v>
      </c>
      <c r="N90" s="11" t="n">
        <f aca="false">$C90*9</f>
        <v>8829</v>
      </c>
      <c r="O90" s="11" t="n">
        <f aca="false">$C90*10</f>
        <v>9810</v>
      </c>
      <c r="P90" s="11" t="n">
        <f aca="false">$C90*11</f>
        <v>10791</v>
      </c>
      <c r="Q90" s="11" t="n">
        <f aca="false">$C90*12</f>
        <v>11772</v>
      </c>
      <c r="R90" s="11" t="n">
        <f aca="false">$C90*13</f>
        <v>12753</v>
      </c>
      <c r="S90" s="11" t="n">
        <f aca="false">$C90*14</f>
        <v>13734</v>
      </c>
      <c r="T90" s="11" t="n">
        <f aca="false">$C90*15</f>
        <v>14715</v>
      </c>
      <c r="U90" s="11" t="n">
        <f aca="false">$C90*16</f>
        <v>15696</v>
      </c>
      <c r="V90" s="11" t="n">
        <f aca="false">$C90*17</f>
        <v>16677</v>
      </c>
      <c r="W90" s="11" t="n">
        <f aca="false">$C90*18</f>
        <v>17658</v>
      </c>
      <c r="X90" s="11" t="n">
        <f aca="false">$C90*19</f>
        <v>18639</v>
      </c>
      <c r="Y90" s="11" t="n">
        <f aca="false">$C90*20</f>
        <v>19620</v>
      </c>
    </row>
    <row r="91" customFormat="false" ht="15" hidden="false" customHeight="false" outlineLevel="0" collapsed="false">
      <c r="A91" s="0" t="s">
        <v>456</v>
      </c>
      <c r="B91" s="0" t="s">
        <v>457</v>
      </c>
      <c r="C91" s="11" t="n">
        <v>988</v>
      </c>
      <c r="D91" s="0" t="s">
        <v>312</v>
      </c>
      <c r="E91" s="0" t="n">
        <v>278</v>
      </c>
      <c r="F91" s="11" t="n">
        <f aca="false">$C91*1</f>
        <v>988</v>
      </c>
      <c r="G91" s="11" t="n">
        <f aca="false">$C91*2</f>
        <v>1976</v>
      </c>
      <c r="H91" s="11" t="n">
        <f aca="false">$C91*3</f>
        <v>2964</v>
      </c>
      <c r="I91" s="11" t="n">
        <f aca="false">$C91*4</f>
        <v>3952</v>
      </c>
      <c r="J91" s="11" t="n">
        <f aca="false">$C91*5</f>
        <v>4940</v>
      </c>
      <c r="K91" s="11" t="n">
        <f aca="false">$C91*6</f>
        <v>5928</v>
      </c>
      <c r="L91" s="11" t="n">
        <f aca="false">$C91*7</f>
        <v>6916</v>
      </c>
      <c r="M91" s="11" t="n">
        <f aca="false">$C91*8</f>
        <v>7904</v>
      </c>
      <c r="N91" s="11" t="n">
        <f aca="false">$C91*9</f>
        <v>8892</v>
      </c>
      <c r="O91" s="11" t="n">
        <f aca="false">$C91*10</f>
        <v>9880</v>
      </c>
      <c r="P91" s="11" t="n">
        <f aca="false">$C91*11</f>
        <v>10868</v>
      </c>
      <c r="Q91" s="11" t="n">
        <f aca="false">$C91*12</f>
        <v>11856</v>
      </c>
      <c r="R91" s="11" t="n">
        <f aca="false">$C91*13</f>
        <v>12844</v>
      </c>
      <c r="S91" s="11" t="n">
        <f aca="false">$C91*14</f>
        <v>13832</v>
      </c>
      <c r="T91" s="11" t="n">
        <f aca="false">$C91*15</f>
        <v>14820</v>
      </c>
      <c r="U91" s="11" t="n">
        <f aca="false">$C91*16</f>
        <v>15808</v>
      </c>
      <c r="V91" s="11" t="n">
        <f aca="false">$C91*17</f>
        <v>16796</v>
      </c>
      <c r="W91" s="11" t="n">
        <f aca="false">$C91*18</f>
        <v>17784</v>
      </c>
      <c r="X91" s="11" t="n">
        <f aca="false">$C91*19</f>
        <v>18772</v>
      </c>
      <c r="Y91" s="11" t="n">
        <f aca="false">$C91*20</f>
        <v>19760</v>
      </c>
    </row>
    <row r="92" customFormat="false" ht="15" hidden="false" customHeight="false" outlineLevel="0" collapsed="false">
      <c r="A92" s="0" t="s">
        <v>458</v>
      </c>
      <c r="B92" s="0" t="s">
        <v>387</v>
      </c>
      <c r="C92" s="11" t="n">
        <v>911</v>
      </c>
      <c r="D92" s="0" t="s">
        <v>312</v>
      </c>
      <c r="E92" s="0" t="n">
        <v>28</v>
      </c>
      <c r="F92" s="11" t="n">
        <f aca="false">$C92*1</f>
        <v>911</v>
      </c>
      <c r="G92" s="11" t="n">
        <f aca="false">$C92*2</f>
        <v>1822</v>
      </c>
      <c r="H92" s="11" t="n">
        <f aca="false">$C92*3</f>
        <v>2733</v>
      </c>
      <c r="I92" s="11" t="n">
        <f aca="false">$C92*4</f>
        <v>3644</v>
      </c>
      <c r="J92" s="11" t="n">
        <f aca="false">$C92*5</f>
        <v>4555</v>
      </c>
      <c r="K92" s="11" t="n">
        <f aca="false">$C92*6</f>
        <v>5466</v>
      </c>
      <c r="L92" s="11" t="n">
        <f aca="false">$C92*7</f>
        <v>6377</v>
      </c>
      <c r="M92" s="11" t="n">
        <f aca="false">$C92*8</f>
        <v>7288</v>
      </c>
      <c r="N92" s="11" t="n">
        <f aca="false">$C92*9</f>
        <v>8199</v>
      </c>
      <c r="O92" s="11" t="n">
        <f aca="false">$C92*10</f>
        <v>9110</v>
      </c>
      <c r="P92" s="11" t="n">
        <f aca="false">$C92*11</f>
        <v>10021</v>
      </c>
      <c r="Q92" s="11" t="n">
        <f aca="false">$C92*12</f>
        <v>10932</v>
      </c>
      <c r="R92" s="11" t="n">
        <f aca="false">$C92*13</f>
        <v>11843</v>
      </c>
      <c r="S92" s="11" t="n">
        <f aca="false">$C92*14</f>
        <v>12754</v>
      </c>
      <c r="T92" s="11" t="n">
        <f aca="false">$C92*15</f>
        <v>13665</v>
      </c>
      <c r="U92" s="11" t="n">
        <f aca="false">$C92*16</f>
        <v>14576</v>
      </c>
      <c r="V92" s="11" t="n">
        <f aca="false">$C92*17</f>
        <v>15487</v>
      </c>
      <c r="W92" s="11" t="n">
        <f aca="false">$C92*18</f>
        <v>16398</v>
      </c>
      <c r="X92" s="11" t="n">
        <f aca="false">$C92*19</f>
        <v>17309</v>
      </c>
      <c r="Y92" s="11" t="n">
        <f aca="false">$C92*20</f>
        <v>18220</v>
      </c>
    </row>
    <row r="93" customFormat="false" ht="15" hidden="false" customHeight="false" outlineLevel="0" collapsed="false">
      <c r="A93" s="0" t="s">
        <v>459</v>
      </c>
      <c r="B93" s="0" t="s">
        <v>460</v>
      </c>
      <c r="C93" s="11" t="n">
        <v>1293</v>
      </c>
      <c r="D93" s="0" t="s">
        <v>318</v>
      </c>
      <c r="E93" s="0" t="n">
        <v>164</v>
      </c>
      <c r="F93" s="11" t="n">
        <f aca="false">$C93*1</f>
        <v>1293</v>
      </c>
      <c r="G93" s="11" t="n">
        <f aca="false">$C93*2</f>
        <v>2586</v>
      </c>
      <c r="H93" s="11" t="n">
        <f aca="false">$C93*3</f>
        <v>3879</v>
      </c>
      <c r="I93" s="11" t="n">
        <f aca="false">$C93*4</f>
        <v>5172</v>
      </c>
      <c r="J93" s="11" t="n">
        <f aca="false">$C93*5</f>
        <v>6465</v>
      </c>
      <c r="K93" s="11" t="n">
        <f aca="false">$C93*6</f>
        <v>7758</v>
      </c>
      <c r="L93" s="11" t="n">
        <f aca="false">$C93*7</f>
        <v>9051</v>
      </c>
      <c r="M93" s="11" t="n">
        <f aca="false">$C93*8</f>
        <v>10344</v>
      </c>
      <c r="N93" s="11" t="n">
        <f aca="false">$C93*9</f>
        <v>11637</v>
      </c>
      <c r="O93" s="11" t="n">
        <f aca="false">$C93*10</f>
        <v>12930</v>
      </c>
      <c r="P93" s="11" t="n">
        <f aca="false">$C93*11</f>
        <v>14223</v>
      </c>
      <c r="Q93" s="11" t="n">
        <f aca="false">$C93*12</f>
        <v>15516</v>
      </c>
      <c r="R93" s="11" t="n">
        <f aca="false">$C93*13</f>
        <v>16809</v>
      </c>
      <c r="S93" s="11" t="n">
        <f aca="false">$C93*14</f>
        <v>18102</v>
      </c>
      <c r="T93" s="11" t="n">
        <f aca="false">$C93*15</f>
        <v>19395</v>
      </c>
      <c r="U93" s="11" t="n">
        <f aca="false">$C93*16</f>
        <v>20688</v>
      </c>
      <c r="V93" s="11" t="n">
        <f aca="false">$C93*17</f>
        <v>21981</v>
      </c>
      <c r="W93" s="11" t="n">
        <f aca="false">$C93*18</f>
        <v>23274</v>
      </c>
      <c r="X93" s="11" t="n">
        <f aca="false">$C93*19</f>
        <v>24567</v>
      </c>
      <c r="Y93" s="11" t="n">
        <f aca="false">$C93*20</f>
        <v>25860</v>
      </c>
    </row>
    <row r="94" customFormat="false" ht="15" hidden="false" customHeight="false" outlineLevel="0" collapsed="false">
      <c r="A94" s="0" t="s">
        <v>461</v>
      </c>
      <c r="B94" s="0" t="s">
        <v>462</v>
      </c>
      <c r="C94" s="11" t="n">
        <v>2099</v>
      </c>
      <c r="D94" s="0" t="s">
        <v>318</v>
      </c>
      <c r="E94" s="0" t="n">
        <v>1044</v>
      </c>
      <c r="F94" s="11" t="n">
        <f aca="false">$C94*1</f>
        <v>2099</v>
      </c>
      <c r="G94" s="11" t="n">
        <f aca="false">$C94*2</f>
        <v>4198</v>
      </c>
      <c r="H94" s="11" t="n">
        <f aca="false">$C94*3</f>
        <v>6297</v>
      </c>
      <c r="I94" s="11" t="n">
        <f aca="false">$C94*4</f>
        <v>8396</v>
      </c>
      <c r="J94" s="11" t="n">
        <f aca="false">$C94*5</f>
        <v>10495</v>
      </c>
      <c r="K94" s="11" t="n">
        <f aca="false">$C94*6</f>
        <v>12594</v>
      </c>
      <c r="L94" s="11" t="n">
        <f aca="false">$C94*7</f>
        <v>14693</v>
      </c>
      <c r="M94" s="11" t="n">
        <f aca="false">$C94*8</f>
        <v>16792</v>
      </c>
      <c r="N94" s="11" t="n">
        <f aca="false">$C94*9</f>
        <v>18891</v>
      </c>
      <c r="O94" s="11" t="n">
        <f aca="false">$C94*10</f>
        <v>20990</v>
      </c>
      <c r="P94" s="11" t="n">
        <f aca="false">$C94*11</f>
        <v>23089</v>
      </c>
      <c r="Q94" s="11" t="n">
        <f aca="false">$C94*12</f>
        <v>25188</v>
      </c>
      <c r="R94" s="11" t="n">
        <f aca="false">$C94*13</f>
        <v>27287</v>
      </c>
      <c r="S94" s="11" t="n">
        <f aca="false">$C94*14</f>
        <v>29386</v>
      </c>
      <c r="T94" s="11" t="n">
        <f aca="false">$C94*15</f>
        <v>31485</v>
      </c>
      <c r="U94" s="11" t="n">
        <f aca="false">$C94*16</f>
        <v>33584</v>
      </c>
      <c r="V94" s="11" t="n">
        <f aca="false">$C94*17</f>
        <v>35683</v>
      </c>
      <c r="W94" s="11" t="n">
        <f aca="false">$C94*18</f>
        <v>37782</v>
      </c>
      <c r="X94" s="11" t="n">
        <f aca="false">$C94*19</f>
        <v>39881</v>
      </c>
      <c r="Y94" s="11" t="n">
        <f aca="false">$C94*20</f>
        <v>41980</v>
      </c>
    </row>
    <row r="95" customFormat="false" ht="15" hidden="false" customHeight="false" outlineLevel="0" collapsed="false">
      <c r="A95" s="0" t="s">
        <v>463</v>
      </c>
      <c r="B95" s="0" t="s">
        <v>464</v>
      </c>
      <c r="C95" s="11" t="n">
        <v>1282</v>
      </c>
      <c r="D95" s="0" t="s">
        <v>309</v>
      </c>
      <c r="E95" s="0" t="n">
        <v>568</v>
      </c>
      <c r="F95" s="11" t="n">
        <f aca="false">$C95*1</f>
        <v>1282</v>
      </c>
      <c r="G95" s="11" t="n">
        <f aca="false">$C95*2</f>
        <v>2564</v>
      </c>
      <c r="H95" s="11" t="n">
        <f aca="false">$C95*3</f>
        <v>3846</v>
      </c>
      <c r="I95" s="11" t="n">
        <f aca="false">$C95*4</f>
        <v>5128</v>
      </c>
      <c r="J95" s="11" t="n">
        <f aca="false">$C95*5</f>
        <v>6410</v>
      </c>
      <c r="K95" s="11" t="n">
        <f aca="false">$C95*6</f>
        <v>7692</v>
      </c>
      <c r="L95" s="11" t="n">
        <f aca="false">$C95*7</f>
        <v>8974</v>
      </c>
      <c r="M95" s="11" t="n">
        <f aca="false">$C95*8</f>
        <v>10256</v>
      </c>
      <c r="N95" s="11" t="n">
        <f aca="false">$C95*9</f>
        <v>11538</v>
      </c>
      <c r="O95" s="11" t="n">
        <f aca="false">$C95*10</f>
        <v>12820</v>
      </c>
      <c r="P95" s="11" t="n">
        <f aca="false">$C95*11</f>
        <v>14102</v>
      </c>
      <c r="Q95" s="11" t="n">
        <f aca="false">$C95*12</f>
        <v>15384</v>
      </c>
      <c r="R95" s="11" t="n">
        <f aca="false">$C95*13</f>
        <v>16666</v>
      </c>
      <c r="S95" s="11" t="n">
        <f aca="false">$C95*14</f>
        <v>17948</v>
      </c>
      <c r="T95" s="11" t="n">
        <f aca="false">$C95*15</f>
        <v>19230</v>
      </c>
      <c r="U95" s="11" t="n">
        <f aca="false">$C95*16</f>
        <v>20512</v>
      </c>
      <c r="V95" s="11" t="n">
        <f aca="false">$C95*17</f>
        <v>21794</v>
      </c>
      <c r="W95" s="11" t="n">
        <f aca="false">$C95*18</f>
        <v>23076</v>
      </c>
      <c r="X95" s="11" t="n">
        <f aca="false">$C95*19</f>
        <v>24358</v>
      </c>
      <c r="Y95" s="11" t="n">
        <f aca="false">$C95*20</f>
        <v>25640</v>
      </c>
    </row>
    <row r="96" customFormat="false" ht="15" hidden="false" customHeight="false" outlineLevel="0" collapsed="false">
      <c r="A96" s="0" t="s">
        <v>465</v>
      </c>
      <c r="B96" s="0" t="s">
        <v>466</v>
      </c>
      <c r="C96" s="11" t="n">
        <v>1289</v>
      </c>
      <c r="D96" s="0" t="s">
        <v>309</v>
      </c>
      <c r="E96" s="0" t="n">
        <v>373</v>
      </c>
      <c r="F96" s="11" t="n">
        <f aca="false">$C96*1</f>
        <v>1289</v>
      </c>
      <c r="G96" s="11" t="n">
        <f aca="false">$C96*2</f>
        <v>2578</v>
      </c>
      <c r="H96" s="11" t="n">
        <f aca="false">$C96*3</f>
        <v>3867</v>
      </c>
      <c r="I96" s="11" t="n">
        <f aca="false">$C96*4</f>
        <v>5156</v>
      </c>
      <c r="J96" s="11" t="n">
        <f aca="false">$C96*5</f>
        <v>6445</v>
      </c>
      <c r="K96" s="11" t="n">
        <f aca="false">$C96*6</f>
        <v>7734</v>
      </c>
      <c r="L96" s="11" t="n">
        <f aca="false">$C96*7</f>
        <v>9023</v>
      </c>
      <c r="M96" s="11" t="n">
        <f aca="false">$C96*8</f>
        <v>10312</v>
      </c>
      <c r="N96" s="11" t="n">
        <f aca="false">$C96*9</f>
        <v>11601</v>
      </c>
      <c r="O96" s="11" t="n">
        <f aca="false">$C96*10</f>
        <v>12890</v>
      </c>
      <c r="P96" s="11" t="n">
        <f aca="false">$C96*11</f>
        <v>14179</v>
      </c>
      <c r="Q96" s="11" t="n">
        <f aca="false">$C96*12</f>
        <v>15468</v>
      </c>
      <c r="R96" s="11" t="n">
        <f aca="false">$C96*13</f>
        <v>16757</v>
      </c>
      <c r="S96" s="11" t="n">
        <f aca="false">$C96*14</f>
        <v>18046</v>
      </c>
      <c r="T96" s="11" t="n">
        <f aca="false">$C96*15</f>
        <v>19335</v>
      </c>
      <c r="U96" s="11" t="n">
        <f aca="false">$C96*16</f>
        <v>20624</v>
      </c>
      <c r="V96" s="11" t="n">
        <f aca="false">$C96*17</f>
        <v>21913</v>
      </c>
      <c r="W96" s="11" t="n">
        <f aca="false">$C96*18</f>
        <v>23202</v>
      </c>
      <c r="X96" s="11" t="n">
        <f aca="false">$C96*19</f>
        <v>24491</v>
      </c>
      <c r="Y96" s="11" t="n">
        <f aca="false">$C96*20</f>
        <v>25780</v>
      </c>
    </row>
    <row r="97" customFormat="false" ht="15" hidden="false" customHeight="false" outlineLevel="0" collapsed="false">
      <c r="A97" s="0" t="s">
        <v>467</v>
      </c>
      <c r="B97" s="0" t="s">
        <v>468</v>
      </c>
      <c r="C97" s="11" t="n">
        <v>910</v>
      </c>
      <c r="D97" s="0" t="s">
        <v>312</v>
      </c>
      <c r="E97" s="0" t="n">
        <v>1086</v>
      </c>
      <c r="F97" s="11" t="n">
        <f aca="false">$C97*1</f>
        <v>910</v>
      </c>
      <c r="G97" s="11" t="n">
        <f aca="false">$C97*2</f>
        <v>1820</v>
      </c>
      <c r="H97" s="11" t="n">
        <f aca="false">$C97*3</f>
        <v>2730</v>
      </c>
      <c r="I97" s="11" t="n">
        <f aca="false">$C97*4</f>
        <v>3640</v>
      </c>
      <c r="J97" s="11" t="n">
        <f aca="false">$C97*5</f>
        <v>4550</v>
      </c>
      <c r="K97" s="11" t="n">
        <f aca="false">$C97*6</f>
        <v>5460</v>
      </c>
      <c r="L97" s="11" t="n">
        <f aca="false">$C97*7</f>
        <v>6370</v>
      </c>
      <c r="M97" s="11" t="n">
        <f aca="false">$C97*8</f>
        <v>7280</v>
      </c>
      <c r="N97" s="11" t="n">
        <f aca="false">$C97*9</f>
        <v>8190</v>
      </c>
      <c r="O97" s="11" t="n">
        <f aca="false">$C97*10</f>
        <v>9100</v>
      </c>
      <c r="P97" s="11" t="n">
        <f aca="false">$C97*11</f>
        <v>10010</v>
      </c>
      <c r="Q97" s="11" t="n">
        <f aca="false">$C97*12</f>
        <v>10920</v>
      </c>
      <c r="R97" s="11" t="n">
        <f aca="false">$C97*13</f>
        <v>11830</v>
      </c>
      <c r="S97" s="11" t="n">
        <f aca="false">$C97*14</f>
        <v>12740</v>
      </c>
      <c r="T97" s="11" t="n">
        <f aca="false">$C97*15</f>
        <v>13650</v>
      </c>
      <c r="U97" s="11" t="n">
        <f aca="false">$C97*16</f>
        <v>14560</v>
      </c>
      <c r="V97" s="11" t="n">
        <f aca="false">$C97*17</f>
        <v>15470</v>
      </c>
      <c r="W97" s="11" t="n">
        <f aca="false">$C97*18</f>
        <v>16380</v>
      </c>
      <c r="X97" s="11" t="n">
        <f aca="false">$C97*19</f>
        <v>17290</v>
      </c>
      <c r="Y97" s="11" t="n">
        <f aca="false">$C97*20</f>
        <v>18200</v>
      </c>
    </row>
    <row r="98" customFormat="false" ht="15" hidden="false" customHeight="false" outlineLevel="0" collapsed="false">
      <c r="A98" s="0" t="s">
        <v>469</v>
      </c>
      <c r="B98" s="0" t="s">
        <v>470</v>
      </c>
      <c r="C98" s="11" t="n">
        <v>1509</v>
      </c>
      <c r="D98" s="0" t="s">
        <v>318</v>
      </c>
      <c r="E98" s="0" t="n">
        <v>1158</v>
      </c>
      <c r="F98" s="11" t="n">
        <f aca="false">$C98*1</f>
        <v>1509</v>
      </c>
      <c r="G98" s="11" t="n">
        <f aca="false">$C98*2</f>
        <v>3018</v>
      </c>
      <c r="H98" s="11" t="n">
        <f aca="false">$C98*3</f>
        <v>4527</v>
      </c>
      <c r="I98" s="11" t="n">
        <f aca="false">$C98*4</f>
        <v>6036</v>
      </c>
      <c r="J98" s="11" t="n">
        <f aca="false">$C98*5</f>
        <v>7545</v>
      </c>
      <c r="K98" s="11" t="n">
        <f aca="false">$C98*6</f>
        <v>9054</v>
      </c>
      <c r="L98" s="11" t="n">
        <f aca="false">$C98*7</f>
        <v>10563</v>
      </c>
      <c r="M98" s="11" t="n">
        <f aca="false">$C98*8</f>
        <v>12072</v>
      </c>
      <c r="N98" s="11" t="n">
        <f aca="false">$C98*9</f>
        <v>13581</v>
      </c>
      <c r="O98" s="11" t="n">
        <f aca="false">$C98*10</f>
        <v>15090</v>
      </c>
      <c r="P98" s="11" t="n">
        <f aca="false">$C98*11</f>
        <v>16599</v>
      </c>
      <c r="Q98" s="11" t="n">
        <f aca="false">$C98*12</f>
        <v>18108</v>
      </c>
      <c r="R98" s="11" t="n">
        <f aca="false">$C98*13</f>
        <v>19617</v>
      </c>
      <c r="S98" s="11" t="n">
        <f aca="false">$C98*14</f>
        <v>21126</v>
      </c>
      <c r="T98" s="11" t="n">
        <f aca="false">$C98*15</f>
        <v>22635</v>
      </c>
      <c r="U98" s="11" t="n">
        <f aca="false">$C98*16</f>
        <v>24144</v>
      </c>
      <c r="V98" s="11" t="n">
        <f aca="false">$C98*17</f>
        <v>25653</v>
      </c>
      <c r="W98" s="11" t="n">
        <f aca="false">$C98*18</f>
        <v>27162</v>
      </c>
      <c r="X98" s="11" t="n">
        <f aca="false">$C98*19</f>
        <v>28671</v>
      </c>
      <c r="Y98" s="11" t="n">
        <f aca="false">$C98*20</f>
        <v>30180</v>
      </c>
    </row>
    <row r="99" customFormat="false" ht="15" hidden="false" customHeight="false" outlineLevel="0" collapsed="false">
      <c r="A99" s="0" t="s">
        <v>375</v>
      </c>
      <c r="B99" s="0" t="s">
        <v>376</v>
      </c>
      <c r="C99" s="11" t="n">
        <v>1236</v>
      </c>
      <c r="D99" s="0" t="s">
        <v>318</v>
      </c>
      <c r="E99" s="0" t="n">
        <v>1013</v>
      </c>
      <c r="F99" s="11" t="n">
        <f aca="false">$C99*1</f>
        <v>1236</v>
      </c>
      <c r="G99" s="11" t="n">
        <f aca="false">$C99*2</f>
        <v>2472</v>
      </c>
      <c r="H99" s="11" t="n">
        <f aca="false">$C99*3</f>
        <v>3708</v>
      </c>
      <c r="I99" s="11" t="n">
        <f aca="false">$C99*4</f>
        <v>4944</v>
      </c>
      <c r="J99" s="11" t="n">
        <f aca="false">$C99*5</f>
        <v>6180</v>
      </c>
      <c r="K99" s="11" t="n">
        <f aca="false">$C99*6</f>
        <v>7416</v>
      </c>
      <c r="L99" s="11" t="n">
        <f aca="false">$C99*7</f>
        <v>8652</v>
      </c>
      <c r="M99" s="11" t="n">
        <f aca="false">$C99*8</f>
        <v>9888</v>
      </c>
      <c r="N99" s="11" t="n">
        <f aca="false">$C99*9</f>
        <v>11124</v>
      </c>
      <c r="O99" s="11" t="n">
        <f aca="false">$C99*10</f>
        <v>12360</v>
      </c>
      <c r="P99" s="11" t="n">
        <f aca="false">$C99*11</f>
        <v>13596</v>
      </c>
      <c r="Q99" s="11" t="n">
        <f aca="false">$C99*12</f>
        <v>14832</v>
      </c>
      <c r="R99" s="11" t="n">
        <f aca="false">$C99*13</f>
        <v>16068</v>
      </c>
      <c r="S99" s="11" t="n">
        <f aca="false">$C99*14</f>
        <v>17304</v>
      </c>
      <c r="T99" s="11" t="n">
        <f aca="false">$C99*15</f>
        <v>18540</v>
      </c>
      <c r="U99" s="11" t="n">
        <f aca="false">$C99*16</f>
        <v>19776</v>
      </c>
      <c r="V99" s="11" t="n">
        <f aca="false">$C99*17</f>
        <v>21012</v>
      </c>
      <c r="W99" s="11" t="n">
        <f aca="false">$C99*18</f>
        <v>22248</v>
      </c>
      <c r="X99" s="11" t="n">
        <f aca="false">$C99*19</f>
        <v>23484</v>
      </c>
      <c r="Y99" s="11" t="n">
        <f aca="false">$C99*20</f>
        <v>24720</v>
      </c>
    </row>
    <row r="100" customFormat="false" ht="15" hidden="false" customHeight="false" outlineLevel="0" collapsed="false">
      <c r="A100" s="0" t="s">
        <v>471</v>
      </c>
      <c r="B100" s="0" t="s">
        <v>472</v>
      </c>
      <c r="C100" s="11" t="n">
        <v>1734</v>
      </c>
      <c r="D100" s="0" t="s">
        <v>318</v>
      </c>
      <c r="E100" s="0" t="n">
        <v>771</v>
      </c>
      <c r="F100" s="11" t="n">
        <f aca="false">$C100*1</f>
        <v>1734</v>
      </c>
      <c r="G100" s="11" t="n">
        <f aca="false">$C100*2</f>
        <v>3468</v>
      </c>
      <c r="H100" s="11" t="n">
        <f aca="false">$C100*3</f>
        <v>5202</v>
      </c>
      <c r="I100" s="11" t="n">
        <f aca="false">$C100*4</f>
        <v>6936</v>
      </c>
      <c r="J100" s="11" t="n">
        <f aca="false">$C100*5</f>
        <v>8670</v>
      </c>
      <c r="K100" s="11" t="n">
        <f aca="false">$C100*6</f>
        <v>10404</v>
      </c>
      <c r="L100" s="11" t="n">
        <f aca="false">$C100*7</f>
        <v>12138</v>
      </c>
      <c r="M100" s="11" t="n">
        <f aca="false">$C100*8</f>
        <v>13872</v>
      </c>
      <c r="N100" s="11" t="n">
        <f aca="false">$C100*9</f>
        <v>15606</v>
      </c>
      <c r="O100" s="11" t="n">
        <f aca="false">$C100*10</f>
        <v>17340</v>
      </c>
      <c r="P100" s="11" t="n">
        <f aca="false">$C100*11</f>
        <v>19074</v>
      </c>
      <c r="Q100" s="11" t="n">
        <f aca="false">$C100*12</f>
        <v>20808</v>
      </c>
      <c r="R100" s="11" t="n">
        <f aca="false">$C100*13</f>
        <v>22542</v>
      </c>
      <c r="S100" s="11" t="n">
        <f aca="false">$C100*14</f>
        <v>24276</v>
      </c>
      <c r="T100" s="11" t="n">
        <f aca="false">$C100*15</f>
        <v>26010</v>
      </c>
      <c r="U100" s="11" t="n">
        <f aca="false">$C100*16</f>
        <v>27744</v>
      </c>
      <c r="V100" s="11" t="n">
        <f aca="false">$C100*17</f>
        <v>29478</v>
      </c>
      <c r="W100" s="11" t="n">
        <f aca="false">$C100*18</f>
        <v>31212</v>
      </c>
      <c r="X100" s="11" t="n">
        <f aca="false">$C100*19</f>
        <v>32946</v>
      </c>
      <c r="Y100" s="11" t="n">
        <f aca="false">$C100*20</f>
        <v>34680</v>
      </c>
    </row>
    <row r="101" customFormat="false" ht="15" hidden="false" customHeight="false" outlineLevel="0" collapsed="false">
      <c r="A101" s="0" t="s">
        <v>473</v>
      </c>
      <c r="B101" s="0" t="s">
        <v>474</v>
      </c>
      <c r="C101" s="11" t="n">
        <v>1901</v>
      </c>
      <c r="D101" s="0" t="s">
        <v>318</v>
      </c>
      <c r="E101" s="0" t="n">
        <v>769</v>
      </c>
      <c r="F101" s="11" t="n">
        <f aca="false">$C101*1</f>
        <v>1901</v>
      </c>
      <c r="G101" s="11" t="n">
        <f aca="false">$C101*2</f>
        <v>3802</v>
      </c>
      <c r="H101" s="11" t="n">
        <f aca="false">$C101*3</f>
        <v>5703</v>
      </c>
      <c r="I101" s="11" t="n">
        <f aca="false">$C101*4</f>
        <v>7604</v>
      </c>
      <c r="J101" s="11" t="n">
        <f aca="false">$C101*5</f>
        <v>9505</v>
      </c>
      <c r="K101" s="11" t="n">
        <f aca="false">$C101*6</f>
        <v>11406</v>
      </c>
      <c r="L101" s="11" t="n">
        <f aca="false">$C101*7</f>
        <v>13307</v>
      </c>
      <c r="M101" s="11" t="n">
        <f aca="false">$C101*8</f>
        <v>15208</v>
      </c>
      <c r="N101" s="11" t="n">
        <f aca="false">$C101*9</f>
        <v>17109</v>
      </c>
      <c r="O101" s="11" t="n">
        <f aca="false">$C101*10</f>
        <v>19010</v>
      </c>
      <c r="P101" s="11" t="n">
        <f aca="false">$C101*11</f>
        <v>20911</v>
      </c>
      <c r="Q101" s="11" t="n">
        <f aca="false">$C101*12</f>
        <v>22812</v>
      </c>
      <c r="R101" s="11" t="n">
        <f aca="false">$C101*13</f>
        <v>24713</v>
      </c>
      <c r="S101" s="11" t="n">
        <f aca="false">$C101*14</f>
        <v>26614</v>
      </c>
      <c r="T101" s="11" t="n">
        <f aca="false">$C101*15</f>
        <v>28515</v>
      </c>
      <c r="U101" s="11" t="n">
        <f aca="false">$C101*16</f>
        <v>30416</v>
      </c>
      <c r="V101" s="11" t="n">
        <f aca="false">$C101*17</f>
        <v>32317</v>
      </c>
      <c r="W101" s="11" t="n">
        <f aca="false">$C101*18</f>
        <v>34218</v>
      </c>
      <c r="X101" s="11" t="n">
        <f aca="false">$C101*19</f>
        <v>36119</v>
      </c>
      <c r="Y101" s="11" t="n">
        <f aca="false">$C101*20</f>
        <v>38020</v>
      </c>
    </row>
    <row r="102" customFormat="false" ht="15" hidden="false" customHeight="false" outlineLevel="0" collapsed="false">
      <c r="A102" s="0" t="s">
        <v>475</v>
      </c>
      <c r="B102" s="0" t="s">
        <v>476</v>
      </c>
      <c r="C102" s="11" t="n">
        <v>1536</v>
      </c>
      <c r="D102" s="0" t="s">
        <v>312</v>
      </c>
      <c r="E102" s="0" t="n">
        <v>93</v>
      </c>
      <c r="F102" s="11" t="n">
        <f aca="false">$C102*1</f>
        <v>1536</v>
      </c>
      <c r="G102" s="11" t="n">
        <f aca="false">$C102*2</f>
        <v>3072</v>
      </c>
      <c r="H102" s="11" t="n">
        <f aca="false">$C102*3</f>
        <v>4608</v>
      </c>
      <c r="I102" s="11" t="n">
        <f aca="false">$C102*4</f>
        <v>6144</v>
      </c>
      <c r="J102" s="11" t="n">
        <f aca="false">$C102*5</f>
        <v>7680</v>
      </c>
      <c r="K102" s="11" t="n">
        <f aca="false">$C102*6</f>
        <v>9216</v>
      </c>
      <c r="L102" s="11" t="n">
        <f aca="false">$C102*7</f>
        <v>10752</v>
      </c>
      <c r="M102" s="11" t="n">
        <f aca="false">$C102*8</f>
        <v>12288</v>
      </c>
      <c r="N102" s="11" t="n">
        <f aca="false">$C102*9</f>
        <v>13824</v>
      </c>
      <c r="O102" s="11" t="n">
        <f aca="false">$C102*10</f>
        <v>15360</v>
      </c>
      <c r="P102" s="11" t="n">
        <f aca="false">$C102*11</f>
        <v>16896</v>
      </c>
      <c r="Q102" s="11" t="n">
        <f aca="false">$C102*12</f>
        <v>18432</v>
      </c>
      <c r="R102" s="11" t="n">
        <f aca="false">$C102*13</f>
        <v>19968</v>
      </c>
      <c r="S102" s="11" t="n">
        <f aca="false">$C102*14</f>
        <v>21504</v>
      </c>
      <c r="T102" s="11" t="n">
        <f aca="false">$C102*15</f>
        <v>23040</v>
      </c>
      <c r="U102" s="11" t="n">
        <f aca="false">$C102*16</f>
        <v>24576</v>
      </c>
      <c r="V102" s="11" t="n">
        <f aca="false">$C102*17</f>
        <v>26112</v>
      </c>
      <c r="W102" s="11" t="n">
        <f aca="false">$C102*18</f>
        <v>27648</v>
      </c>
      <c r="X102" s="11" t="n">
        <f aca="false">$C102*19</f>
        <v>29184</v>
      </c>
      <c r="Y102" s="11" t="n">
        <f aca="false">$C102*20</f>
        <v>30720</v>
      </c>
    </row>
    <row r="103" customFormat="false" ht="15" hidden="false" customHeight="false" outlineLevel="0" collapsed="false">
      <c r="A103" s="0" t="s">
        <v>477</v>
      </c>
      <c r="B103" s="0" t="s">
        <v>478</v>
      </c>
      <c r="C103" s="11" t="n">
        <v>1342</v>
      </c>
      <c r="D103" s="0" t="s">
        <v>318</v>
      </c>
      <c r="E103" s="0" t="n">
        <v>223</v>
      </c>
      <c r="F103" s="11" t="n">
        <f aca="false">$C103*1</f>
        <v>1342</v>
      </c>
      <c r="G103" s="11" t="n">
        <f aca="false">$C103*2</f>
        <v>2684</v>
      </c>
      <c r="H103" s="11" t="n">
        <f aca="false">$C103*3</f>
        <v>4026</v>
      </c>
      <c r="I103" s="11" t="n">
        <f aca="false">$C103*4</f>
        <v>5368</v>
      </c>
      <c r="J103" s="11" t="n">
        <f aca="false">$C103*5</f>
        <v>6710</v>
      </c>
      <c r="K103" s="11" t="n">
        <f aca="false">$C103*6</f>
        <v>8052</v>
      </c>
      <c r="L103" s="11" t="n">
        <f aca="false">$C103*7</f>
        <v>9394</v>
      </c>
      <c r="M103" s="11" t="n">
        <f aca="false">$C103*8</f>
        <v>10736</v>
      </c>
      <c r="N103" s="11" t="n">
        <f aca="false">$C103*9</f>
        <v>12078</v>
      </c>
      <c r="O103" s="11" t="n">
        <f aca="false">$C103*10</f>
        <v>13420</v>
      </c>
      <c r="P103" s="11" t="n">
        <f aca="false">$C103*11</f>
        <v>14762</v>
      </c>
      <c r="Q103" s="11" t="n">
        <f aca="false">$C103*12</f>
        <v>16104</v>
      </c>
      <c r="R103" s="11" t="n">
        <f aca="false">$C103*13</f>
        <v>17446</v>
      </c>
      <c r="S103" s="11" t="n">
        <f aca="false">$C103*14</f>
        <v>18788</v>
      </c>
      <c r="T103" s="11" t="n">
        <f aca="false">$C103*15</f>
        <v>20130</v>
      </c>
      <c r="U103" s="11" t="n">
        <f aca="false">$C103*16</f>
        <v>21472</v>
      </c>
      <c r="V103" s="11" t="n">
        <f aca="false">$C103*17</f>
        <v>22814</v>
      </c>
      <c r="W103" s="11" t="n">
        <f aca="false">$C103*18</f>
        <v>24156</v>
      </c>
      <c r="X103" s="11" t="n">
        <f aca="false">$C103*19</f>
        <v>25498</v>
      </c>
      <c r="Y103" s="11" t="n">
        <f aca="false">$C103*20</f>
        <v>26840</v>
      </c>
    </row>
    <row r="104" customFormat="false" ht="15" hidden="false" customHeight="false" outlineLevel="0" collapsed="false">
      <c r="A104" s="0" t="s">
        <v>479</v>
      </c>
      <c r="B104" s="0" t="s">
        <v>480</v>
      </c>
      <c r="C104" s="11" t="n">
        <v>1179</v>
      </c>
      <c r="D104" s="0" t="s">
        <v>312</v>
      </c>
      <c r="E104" s="0" t="n">
        <v>20</v>
      </c>
      <c r="F104" s="11" t="n">
        <f aca="false">$C104*1</f>
        <v>1179</v>
      </c>
      <c r="G104" s="11" t="n">
        <f aca="false">$C104*2</f>
        <v>2358</v>
      </c>
      <c r="H104" s="11" t="n">
        <f aca="false">$C104*3</f>
        <v>3537</v>
      </c>
      <c r="I104" s="11" t="n">
        <f aca="false">$C104*4</f>
        <v>4716</v>
      </c>
      <c r="J104" s="11" t="n">
        <f aca="false">$C104*5</f>
        <v>5895</v>
      </c>
      <c r="K104" s="11" t="n">
        <f aca="false">$C104*6</f>
        <v>7074</v>
      </c>
      <c r="L104" s="11" t="n">
        <f aca="false">$C104*7</f>
        <v>8253</v>
      </c>
      <c r="M104" s="11" t="n">
        <f aca="false">$C104*8</f>
        <v>9432</v>
      </c>
      <c r="N104" s="11" t="n">
        <f aca="false">$C104*9</f>
        <v>10611</v>
      </c>
      <c r="O104" s="11" t="n">
        <f aca="false">$C104*10</f>
        <v>11790</v>
      </c>
      <c r="P104" s="11" t="n">
        <f aca="false">$C104*11</f>
        <v>12969</v>
      </c>
      <c r="Q104" s="11" t="n">
        <f aca="false">$C104*12</f>
        <v>14148</v>
      </c>
      <c r="R104" s="11" t="n">
        <f aca="false">$C104*13</f>
        <v>15327</v>
      </c>
      <c r="S104" s="11" t="n">
        <f aca="false">$C104*14</f>
        <v>16506</v>
      </c>
      <c r="T104" s="11" t="n">
        <f aca="false">$C104*15</f>
        <v>17685</v>
      </c>
      <c r="U104" s="11" t="n">
        <f aca="false">$C104*16</f>
        <v>18864</v>
      </c>
      <c r="V104" s="11" t="n">
        <f aca="false">$C104*17</f>
        <v>20043</v>
      </c>
      <c r="W104" s="11" t="n">
        <f aca="false">$C104*18</f>
        <v>21222</v>
      </c>
      <c r="X104" s="11" t="n">
        <f aca="false">$C104*19</f>
        <v>22401</v>
      </c>
      <c r="Y104" s="11" t="n">
        <f aca="false">$C104*20</f>
        <v>23580</v>
      </c>
    </row>
    <row r="105" customFormat="false" ht="15" hidden="false" customHeight="false" outlineLevel="0" collapsed="false">
      <c r="A105" s="0" t="s">
        <v>481</v>
      </c>
      <c r="B105" s="0" t="s">
        <v>482</v>
      </c>
      <c r="C105" s="11" t="n">
        <v>1071</v>
      </c>
      <c r="D105" s="0" t="s">
        <v>309</v>
      </c>
      <c r="E105" s="0" t="n">
        <v>278</v>
      </c>
      <c r="F105" s="11" t="n">
        <f aca="false">$C105*1</f>
        <v>1071</v>
      </c>
      <c r="G105" s="11" t="n">
        <f aca="false">$C105*2</f>
        <v>2142</v>
      </c>
      <c r="H105" s="11" t="n">
        <f aca="false">$C105*3</f>
        <v>3213</v>
      </c>
      <c r="I105" s="11" t="n">
        <f aca="false">$C105*4</f>
        <v>4284</v>
      </c>
      <c r="J105" s="11" t="n">
        <f aca="false">$C105*5</f>
        <v>5355</v>
      </c>
      <c r="K105" s="11" t="n">
        <f aca="false">$C105*6</f>
        <v>6426</v>
      </c>
      <c r="L105" s="11" t="n">
        <f aca="false">$C105*7</f>
        <v>7497</v>
      </c>
      <c r="M105" s="11" t="n">
        <f aca="false">$C105*8</f>
        <v>8568</v>
      </c>
      <c r="N105" s="11" t="n">
        <f aca="false">$C105*9</f>
        <v>9639</v>
      </c>
      <c r="O105" s="11" t="n">
        <f aca="false">$C105*10</f>
        <v>10710</v>
      </c>
      <c r="P105" s="11" t="n">
        <f aca="false">$C105*11</f>
        <v>11781</v>
      </c>
      <c r="Q105" s="11" t="n">
        <f aca="false">$C105*12</f>
        <v>12852</v>
      </c>
      <c r="R105" s="11" t="n">
        <f aca="false">$C105*13</f>
        <v>13923</v>
      </c>
      <c r="S105" s="11" t="n">
        <f aca="false">$C105*14</f>
        <v>14994</v>
      </c>
      <c r="T105" s="11" t="n">
        <f aca="false">$C105*15</f>
        <v>16065</v>
      </c>
      <c r="U105" s="11" t="n">
        <f aca="false">$C105*16</f>
        <v>17136</v>
      </c>
      <c r="V105" s="11" t="n">
        <f aca="false">$C105*17</f>
        <v>18207</v>
      </c>
      <c r="W105" s="11" t="n">
        <f aca="false">$C105*18</f>
        <v>19278</v>
      </c>
      <c r="X105" s="11" t="n">
        <f aca="false">$C105*19</f>
        <v>20349</v>
      </c>
      <c r="Y105" s="11" t="n">
        <f aca="false">$C105*20</f>
        <v>21420</v>
      </c>
    </row>
    <row r="106" customFormat="false" ht="15" hidden="false" customHeight="false" outlineLevel="0" collapsed="false">
      <c r="A106" s="0" t="s">
        <v>483</v>
      </c>
      <c r="B106" s="0" t="s">
        <v>484</v>
      </c>
      <c r="C106" s="11" t="n">
        <v>1159</v>
      </c>
      <c r="D106" s="0" t="s">
        <v>318</v>
      </c>
      <c r="E106" s="0" t="n">
        <v>75</v>
      </c>
      <c r="F106" s="11" t="n">
        <f aca="false">$C106*1</f>
        <v>1159</v>
      </c>
      <c r="G106" s="11" t="n">
        <f aca="false">$C106*2</f>
        <v>2318</v>
      </c>
      <c r="H106" s="11" t="n">
        <f aca="false">$C106*3</f>
        <v>3477</v>
      </c>
      <c r="I106" s="11" t="n">
        <f aca="false">$C106*4</f>
        <v>4636</v>
      </c>
      <c r="J106" s="11" t="n">
        <f aca="false">$C106*5</f>
        <v>5795</v>
      </c>
      <c r="K106" s="11" t="n">
        <f aca="false">$C106*6</f>
        <v>6954</v>
      </c>
      <c r="L106" s="11" t="n">
        <f aca="false">$C106*7</f>
        <v>8113</v>
      </c>
      <c r="M106" s="11" t="n">
        <f aca="false">$C106*8</f>
        <v>9272</v>
      </c>
      <c r="N106" s="11" t="n">
        <f aca="false">$C106*9</f>
        <v>10431</v>
      </c>
      <c r="O106" s="11" t="n">
        <f aca="false">$C106*10</f>
        <v>11590</v>
      </c>
      <c r="P106" s="11" t="n">
        <f aca="false">$C106*11</f>
        <v>12749</v>
      </c>
      <c r="Q106" s="11" t="n">
        <f aca="false">$C106*12</f>
        <v>13908</v>
      </c>
      <c r="R106" s="11" t="n">
        <f aca="false">$C106*13</f>
        <v>15067</v>
      </c>
      <c r="S106" s="11" t="n">
        <f aca="false">$C106*14</f>
        <v>16226</v>
      </c>
      <c r="T106" s="11" t="n">
        <f aca="false">$C106*15</f>
        <v>17385</v>
      </c>
      <c r="U106" s="11" t="n">
        <f aca="false">$C106*16</f>
        <v>18544</v>
      </c>
      <c r="V106" s="11" t="n">
        <f aca="false">$C106*17</f>
        <v>19703</v>
      </c>
      <c r="W106" s="11" t="n">
        <f aca="false">$C106*18</f>
        <v>20862</v>
      </c>
      <c r="X106" s="11" t="n">
        <f aca="false">$C106*19</f>
        <v>22021</v>
      </c>
      <c r="Y106" s="11" t="n">
        <f aca="false">$C106*20</f>
        <v>23180</v>
      </c>
    </row>
    <row r="107" customFormat="false" ht="15" hidden="false" customHeight="false" outlineLevel="0" collapsed="false">
      <c r="A107" s="0" t="s">
        <v>485</v>
      </c>
      <c r="B107" s="0" t="s">
        <v>486</v>
      </c>
      <c r="C107" s="11" t="n">
        <v>1392</v>
      </c>
      <c r="D107" s="0" t="s">
        <v>318</v>
      </c>
      <c r="E107" s="0" t="n">
        <v>14</v>
      </c>
      <c r="F107" s="11" t="n">
        <f aca="false">$C107*1</f>
        <v>1392</v>
      </c>
      <c r="G107" s="11" t="n">
        <f aca="false">$C107*2</f>
        <v>2784</v>
      </c>
      <c r="H107" s="11" t="n">
        <f aca="false">$C107*3</f>
        <v>4176</v>
      </c>
      <c r="I107" s="11" t="n">
        <f aca="false">$C107*4</f>
        <v>5568</v>
      </c>
      <c r="J107" s="11" t="n">
        <f aca="false">$C107*5</f>
        <v>6960</v>
      </c>
      <c r="K107" s="11" t="n">
        <f aca="false">$C107*6</f>
        <v>8352</v>
      </c>
      <c r="L107" s="11" t="n">
        <f aca="false">$C107*7</f>
        <v>9744</v>
      </c>
      <c r="M107" s="11" t="n">
        <f aca="false">$C107*8</f>
        <v>11136</v>
      </c>
      <c r="N107" s="11" t="n">
        <f aca="false">$C107*9</f>
        <v>12528</v>
      </c>
      <c r="O107" s="11" t="n">
        <f aca="false">$C107*10</f>
        <v>13920</v>
      </c>
      <c r="P107" s="11" t="n">
        <f aca="false">$C107*11</f>
        <v>15312</v>
      </c>
      <c r="Q107" s="11" t="n">
        <f aca="false">$C107*12</f>
        <v>16704</v>
      </c>
      <c r="R107" s="11" t="n">
        <f aca="false">$C107*13</f>
        <v>18096</v>
      </c>
      <c r="S107" s="11" t="n">
        <f aca="false">$C107*14</f>
        <v>19488</v>
      </c>
      <c r="T107" s="11" t="n">
        <f aca="false">$C107*15</f>
        <v>20880</v>
      </c>
      <c r="U107" s="11" t="n">
        <f aca="false">$C107*16</f>
        <v>22272</v>
      </c>
      <c r="V107" s="11" t="n">
        <f aca="false">$C107*17</f>
        <v>23664</v>
      </c>
      <c r="W107" s="11" t="n">
        <f aca="false">$C107*18</f>
        <v>25056</v>
      </c>
      <c r="X107" s="11" t="n">
        <f aca="false">$C107*19</f>
        <v>26448</v>
      </c>
      <c r="Y107" s="11" t="n">
        <f aca="false">$C107*20</f>
        <v>27840</v>
      </c>
    </row>
    <row r="108" customFormat="false" ht="15" hidden="false" customHeight="false" outlineLevel="0" collapsed="false">
      <c r="A108" s="0" t="s">
        <v>487</v>
      </c>
      <c r="B108" s="0" t="s">
        <v>488</v>
      </c>
      <c r="C108" s="11" t="n">
        <v>725</v>
      </c>
      <c r="D108" s="0" t="s">
        <v>388</v>
      </c>
      <c r="E108" s="0" t="n">
        <v>27</v>
      </c>
      <c r="F108" s="11" t="n">
        <f aca="false">$C108*1</f>
        <v>725</v>
      </c>
      <c r="G108" s="11" t="n">
        <f aca="false">$C108*2</f>
        <v>1450</v>
      </c>
      <c r="H108" s="11" t="n">
        <f aca="false">$C108*3</f>
        <v>2175</v>
      </c>
      <c r="I108" s="11" t="n">
        <f aca="false">$C108*4</f>
        <v>2900</v>
      </c>
      <c r="J108" s="11" t="n">
        <f aca="false">$C108*5</f>
        <v>3625</v>
      </c>
      <c r="K108" s="11" t="n">
        <f aca="false">$C108*6</f>
        <v>4350</v>
      </c>
      <c r="L108" s="11" t="n">
        <f aca="false">$C108*7</f>
        <v>5075</v>
      </c>
      <c r="M108" s="11" t="n">
        <f aca="false">$C108*8</f>
        <v>5800</v>
      </c>
      <c r="N108" s="11" t="n">
        <f aca="false">$C108*9</f>
        <v>6525</v>
      </c>
      <c r="O108" s="11" t="n">
        <f aca="false">$C108*10</f>
        <v>7250</v>
      </c>
      <c r="P108" s="11" t="n">
        <f aca="false">$C108*11</f>
        <v>7975</v>
      </c>
      <c r="Q108" s="11" t="n">
        <f aca="false">$C108*12</f>
        <v>8700</v>
      </c>
      <c r="R108" s="11" t="n">
        <f aca="false">$C108*13</f>
        <v>9425</v>
      </c>
      <c r="S108" s="11" t="n">
        <f aca="false">$C108*14</f>
        <v>10150</v>
      </c>
      <c r="T108" s="11" t="n">
        <f aca="false">$C108*15</f>
        <v>10875</v>
      </c>
      <c r="U108" s="11" t="n">
        <f aca="false">$C108*16</f>
        <v>11600</v>
      </c>
      <c r="V108" s="11" t="n">
        <f aca="false">$C108*17</f>
        <v>12325</v>
      </c>
      <c r="W108" s="11" t="n">
        <f aca="false">$C108*18</f>
        <v>13050</v>
      </c>
      <c r="X108" s="11" t="n">
        <f aca="false">$C108*19</f>
        <v>13775</v>
      </c>
      <c r="Y108" s="11" t="n">
        <f aca="false">$C108*20</f>
        <v>14500</v>
      </c>
    </row>
    <row r="109" customFormat="false" ht="15" hidden="false" customHeight="false" outlineLevel="0" collapsed="false">
      <c r="A109" s="0" t="s">
        <v>489</v>
      </c>
      <c r="B109" s="0" t="s">
        <v>490</v>
      </c>
      <c r="C109" s="11" t="n">
        <v>743</v>
      </c>
      <c r="D109" s="0" t="s">
        <v>491</v>
      </c>
      <c r="E109" s="0" t="n">
        <v>661</v>
      </c>
      <c r="F109" s="11" t="n">
        <f aca="false">$C109*1</f>
        <v>743</v>
      </c>
      <c r="G109" s="11" t="n">
        <f aca="false">$C109*2</f>
        <v>1486</v>
      </c>
      <c r="H109" s="11" t="n">
        <f aca="false">$C109*3</f>
        <v>2229</v>
      </c>
      <c r="I109" s="11" t="n">
        <f aca="false">$C109*4</f>
        <v>2972</v>
      </c>
      <c r="J109" s="11" t="n">
        <f aca="false">$C109*5</f>
        <v>3715</v>
      </c>
      <c r="K109" s="11" t="n">
        <f aca="false">$C109*6</f>
        <v>4458</v>
      </c>
      <c r="L109" s="11" t="n">
        <f aca="false">$C109*7</f>
        <v>5201</v>
      </c>
      <c r="M109" s="11" t="n">
        <f aca="false">$C109*8</f>
        <v>5944</v>
      </c>
      <c r="N109" s="11" t="n">
        <f aca="false">$C109*9</f>
        <v>6687</v>
      </c>
      <c r="O109" s="11" t="n">
        <f aca="false">$C109*10</f>
        <v>7430</v>
      </c>
      <c r="P109" s="11" t="n">
        <f aca="false">$C109*11</f>
        <v>8173</v>
      </c>
      <c r="Q109" s="11" t="n">
        <f aca="false">$C109*12</f>
        <v>8916</v>
      </c>
      <c r="R109" s="11" t="n">
        <f aca="false">$C109*13</f>
        <v>9659</v>
      </c>
      <c r="S109" s="11" t="n">
        <f aca="false">$C109*14</f>
        <v>10402</v>
      </c>
      <c r="T109" s="11" t="n">
        <f aca="false">$C109*15</f>
        <v>11145</v>
      </c>
      <c r="U109" s="11" t="n">
        <f aca="false">$C109*16</f>
        <v>11888</v>
      </c>
      <c r="V109" s="11" t="n">
        <f aca="false">$C109*17</f>
        <v>12631</v>
      </c>
      <c r="W109" s="11" t="n">
        <f aca="false">$C109*18</f>
        <v>13374</v>
      </c>
      <c r="X109" s="11" t="n">
        <f aca="false">$C109*19</f>
        <v>14117</v>
      </c>
      <c r="Y109" s="11" t="n">
        <f aca="false">$C109*20</f>
        <v>14860</v>
      </c>
    </row>
    <row r="110" customFormat="false" ht="15" hidden="false" customHeight="false" outlineLevel="0" collapsed="false">
      <c r="A110" s="0" t="s">
        <v>492</v>
      </c>
      <c r="B110" s="0" t="s">
        <v>493</v>
      </c>
      <c r="C110" s="11" t="n">
        <v>1377</v>
      </c>
      <c r="D110" s="0" t="s">
        <v>318</v>
      </c>
      <c r="E110" s="0" t="n">
        <v>231</v>
      </c>
      <c r="F110" s="11" t="n">
        <f aca="false">$C110*1</f>
        <v>1377</v>
      </c>
      <c r="G110" s="11" t="n">
        <f aca="false">$C110*2</f>
        <v>2754</v>
      </c>
      <c r="H110" s="11" t="n">
        <f aca="false">$C110*3</f>
        <v>4131</v>
      </c>
      <c r="I110" s="11" t="n">
        <f aca="false">$C110*4</f>
        <v>5508</v>
      </c>
      <c r="J110" s="11" t="n">
        <f aca="false">$C110*5</f>
        <v>6885</v>
      </c>
      <c r="K110" s="11" t="n">
        <f aca="false">$C110*6</f>
        <v>8262</v>
      </c>
      <c r="L110" s="11" t="n">
        <f aca="false">$C110*7</f>
        <v>9639</v>
      </c>
      <c r="M110" s="11" t="n">
        <f aca="false">$C110*8</f>
        <v>11016</v>
      </c>
      <c r="N110" s="11" t="n">
        <f aca="false">$C110*9</f>
        <v>12393</v>
      </c>
      <c r="O110" s="11" t="n">
        <f aca="false">$C110*10</f>
        <v>13770</v>
      </c>
      <c r="P110" s="11" t="n">
        <f aca="false">$C110*11</f>
        <v>15147</v>
      </c>
      <c r="Q110" s="11" t="n">
        <f aca="false">$C110*12</f>
        <v>16524</v>
      </c>
      <c r="R110" s="11" t="n">
        <f aca="false">$C110*13</f>
        <v>17901</v>
      </c>
      <c r="S110" s="11" t="n">
        <f aca="false">$C110*14</f>
        <v>19278</v>
      </c>
      <c r="T110" s="11" t="n">
        <f aca="false">$C110*15</f>
        <v>20655</v>
      </c>
      <c r="U110" s="11" t="n">
        <f aca="false">$C110*16</f>
        <v>22032</v>
      </c>
      <c r="V110" s="11" t="n">
        <f aca="false">$C110*17</f>
        <v>23409</v>
      </c>
      <c r="W110" s="11" t="n">
        <f aca="false">$C110*18</f>
        <v>24786</v>
      </c>
      <c r="X110" s="11" t="n">
        <f aca="false">$C110*19</f>
        <v>26163</v>
      </c>
      <c r="Y110" s="11" t="n">
        <f aca="false">$C110*20</f>
        <v>27540</v>
      </c>
    </row>
    <row r="111" customFormat="false" ht="15" hidden="false" customHeight="false" outlineLevel="0" collapsed="false">
      <c r="A111" s="0" t="s">
        <v>494</v>
      </c>
      <c r="B111" s="0" t="s">
        <v>495</v>
      </c>
      <c r="C111" s="11" t="n">
        <v>1088</v>
      </c>
      <c r="D111" s="0" t="s">
        <v>318</v>
      </c>
      <c r="E111" s="0" t="n">
        <v>254</v>
      </c>
      <c r="F111" s="11" t="n">
        <f aca="false">$C111*1</f>
        <v>1088</v>
      </c>
      <c r="G111" s="11" t="n">
        <f aca="false">$C111*2</f>
        <v>2176</v>
      </c>
      <c r="H111" s="11" t="n">
        <f aca="false">$C111*3</f>
        <v>3264</v>
      </c>
      <c r="I111" s="11" t="n">
        <f aca="false">$C111*4</f>
        <v>4352</v>
      </c>
      <c r="J111" s="11" t="n">
        <f aca="false">$C111*5</f>
        <v>5440</v>
      </c>
      <c r="K111" s="11" t="n">
        <f aca="false">$C111*6</f>
        <v>6528</v>
      </c>
      <c r="L111" s="11" t="n">
        <f aca="false">$C111*7</f>
        <v>7616</v>
      </c>
      <c r="M111" s="11" t="n">
        <f aca="false">$C111*8</f>
        <v>8704</v>
      </c>
      <c r="N111" s="11" t="n">
        <f aca="false">$C111*9</f>
        <v>9792</v>
      </c>
      <c r="O111" s="11" t="n">
        <f aca="false">$C111*10</f>
        <v>10880</v>
      </c>
      <c r="P111" s="11" t="n">
        <f aca="false">$C111*11</f>
        <v>11968</v>
      </c>
      <c r="Q111" s="11" t="n">
        <f aca="false">$C111*12</f>
        <v>13056</v>
      </c>
      <c r="R111" s="11" t="n">
        <f aca="false">$C111*13</f>
        <v>14144</v>
      </c>
      <c r="S111" s="11" t="n">
        <f aca="false">$C111*14</f>
        <v>15232</v>
      </c>
      <c r="T111" s="11" t="n">
        <f aca="false">$C111*15</f>
        <v>16320</v>
      </c>
      <c r="U111" s="11" t="n">
        <f aca="false">$C111*16</f>
        <v>17408</v>
      </c>
      <c r="V111" s="11" t="n">
        <f aca="false">$C111*17</f>
        <v>18496</v>
      </c>
      <c r="W111" s="11" t="n">
        <f aca="false">$C111*18</f>
        <v>19584</v>
      </c>
      <c r="X111" s="11" t="n">
        <f aca="false">$C111*19</f>
        <v>20672</v>
      </c>
      <c r="Y111" s="11" t="n">
        <f aca="false">$C111*20</f>
        <v>21760</v>
      </c>
    </row>
    <row r="112" customFormat="false" ht="15" hidden="false" customHeight="false" outlineLevel="0" collapsed="false">
      <c r="A112" s="0" t="s">
        <v>496</v>
      </c>
      <c r="B112" s="0" t="s">
        <v>497</v>
      </c>
      <c r="C112" s="11" t="n">
        <v>1276</v>
      </c>
      <c r="D112" s="0" t="s">
        <v>309</v>
      </c>
      <c r="E112" s="0" t="n">
        <v>14</v>
      </c>
      <c r="F112" s="11" t="n">
        <f aca="false">$C112*1</f>
        <v>1276</v>
      </c>
      <c r="G112" s="11" t="n">
        <f aca="false">$C112*2</f>
        <v>2552</v>
      </c>
      <c r="H112" s="11" t="n">
        <f aca="false">$C112*3</f>
        <v>3828</v>
      </c>
      <c r="I112" s="11" t="n">
        <f aca="false">$C112*4</f>
        <v>5104</v>
      </c>
      <c r="J112" s="11" t="n">
        <f aca="false">$C112*5</f>
        <v>6380</v>
      </c>
      <c r="K112" s="11" t="n">
        <f aca="false">$C112*6</f>
        <v>7656</v>
      </c>
      <c r="L112" s="11" t="n">
        <f aca="false">$C112*7</f>
        <v>8932</v>
      </c>
      <c r="M112" s="11" t="n">
        <f aca="false">$C112*8</f>
        <v>10208</v>
      </c>
      <c r="N112" s="11" t="n">
        <f aca="false">$C112*9</f>
        <v>11484</v>
      </c>
      <c r="O112" s="11" t="n">
        <f aca="false">$C112*10</f>
        <v>12760</v>
      </c>
      <c r="P112" s="11" t="n">
        <f aca="false">$C112*11</f>
        <v>14036</v>
      </c>
      <c r="Q112" s="11" t="n">
        <f aca="false">$C112*12</f>
        <v>15312</v>
      </c>
      <c r="R112" s="11" t="n">
        <f aca="false">$C112*13</f>
        <v>16588</v>
      </c>
      <c r="S112" s="11" t="n">
        <f aca="false">$C112*14</f>
        <v>17864</v>
      </c>
      <c r="T112" s="11" t="n">
        <f aca="false">$C112*15</f>
        <v>19140</v>
      </c>
      <c r="U112" s="11" t="n">
        <f aca="false">$C112*16</f>
        <v>20416</v>
      </c>
      <c r="V112" s="11" t="n">
        <f aca="false">$C112*17</f>
        <v>21692</v>
      </c>
      <c r="W112" s="11" t="n">
        <f aca="false">$C112*18</f>
        <v>22968</v>
      </c>
      <c r="X112" s="11" t="n">
        <f aca="false">$C112*19</f>
        <v>24244</v>
      </c>
      <c r="Y112" s="11" t="n">
        <f aca="false">$C112*20</f>
        <v>25520</v>
      </c>
    </row>
    <row r="113" customFormat="false" ht="15" hidden="false" customHeight="false" outlineLevel="0" collapsed="false">
      <c r="A113" s="0" t="s">
        <v>498</v>
      </c>
      <c r="B113" s="0" t="s">
        <v>499</v>
      </c>
      <c r="C113" s="11" t="n">
        <v>1014</v>
      </c>
      <c r="D113" s="0" t="s">
        <v>312</v>
      </c>
      <c r="E113" s="0" t="n">
        <v>837</v>
      </c>
      <c r="F113" s="11" t="n">
        <f aca="false">$C113*1</f>
        <v>1014</v>
      </c>
      <c r="G113" s="11" t="n">
        <f aca="false">$C113*2</f>
        <v>2028</v>
      </c>
      <c r="H113" s="11" t="n">
        <f aca="false">$C113*3</f>
        <v>3042</v>
      </c>
      <c r="I113" s="11" t="n">
        <f aca="false">$C113*4</f>
        <v>4056</v>
      </c>
      <c r="J113" s="11" t="n">
        <f aca="false">$C113*5</f>
        <v>5070</v>
      </c>
      <c r="K113" s="11" t="n">
        <f aca="false">$C113*6</f>
        <v>6084</v>
      </c>
      <c r="L113" s="11" t="n">
        <f aca="false">$C113*7</f>
        <v>7098</v>
      </c>
      <c r="M113" s="11" t="n">
        <f aca="false">$C113*8</f>
        <v>8112</v>
      </c>
      <c r="N113" s="11" t="n">
        <f aca="false">$C113*9</f>
        <v>9126</v>
      </c>
      <c r="O113" s="11" t="n">
        <f aca="false">$C113*10</f>
        <v>10140</v>
      </c>
      <c r="P113" s="11" t="n">
        <f aca="false">$C113*11</f>
        <v>11154</v>
      </c>
      <c r="Q113" s="11" t="n">
        <f aca="false">$C113*12</f>
        <v>12168</v>
      </c>
      <c r="R113" s="11" t="n">
        <f aca="false">$C113*13</f>
        <v>13182</v>
      </c>
      <c r="S113" s="11" t="n">
        <f aca="false">$C113*14</f>
        <v>14196</v>
      </c>
      <c r="T113" s="11" t="n">
        <f aca="false">$C113*15</f>
        <v>15210</v>
      </c>
      <c r="U113" s="11" t="n">
        <f aca="false">$C113*16</f>
        <v>16224</v>
      </c>
      <c r="V113" s="11" t="n">
        <f aca="false">$C113*17</f>
        <v>17238</v>
      </c>
      <c r="W113" s="11" t="n">
        <f aca="false">$C113*18</f>
        <v>18252</v>
      </c>
      <c r="X113" s="11" t="n">
        <f aca="false">$C113*19</f>
        <v>19266</v>
      </c>
      <c r="Y113" s="11" t="n">
        <f aca="false">$C113*20</f>
        <v>20280</v>
      </c>
    </row>
    <row r="114" customFormat="false" ht="15" hidden="false" customHeight="false" outlineLevel="0" collapsed="false">
      <c r="A114" s="0" t="s">
        <v>500</v>
      </c>
      <c r="B114" s="0" t="s">
        <v>407</v>
      </c>
      <c r="C114" s="11" t="n">
        <v>1950</v>
      </c>
      <c r="D114" s="0" t="s">
        <v>318</v>
      </c>
      <c r="E114" s="0" t="n">
        <v>514</v>
      </c>
      <c r="F114" s="11" t="n">
        <f aca="false">$C114*1</f>
        <v>1950</v>
      </c>
      <c r="G114" s="11" t="n">
        <f aca="false">$C114*2</f>
        <v>3900</v>
      </c>
      <c r="H114" s="11" t="n">
        <f aca="false">$C114*3</f>
        <v>5850</v>
      </c>
      <c r="I114" s="11" t="n">
        <f aca="false">$C114*4</f>
        <v>7800</v>
      </c>
      <c r="J114" s="11" t="n">
        <f aca="false">$C114*5</f>
        <v>9750</v>
      </c>
      <c r="K114" s="11" t="n">
        <f aca="false">$C114*6</f>
        <v>11700</v>
      </c>
      <c r="L114" s="11" t="n">
        <f aca="false">$C114*7</f>
        <v>13650</v>
      </c>
      <c r="M114" s="11" t="n">
        <f aca="false">$C114*8</f>
        <v>15600</v>
      </c>
      <c r="N114" s="11" t="n">
        <f aca="false">$C114*9</f>
        <v>17550</v>
      </c>
      <c r="O114" s="11" t="n">
        <f aca="false">$C114*10</f>
        <v>19500</v>
      </c>
      <c r="P114" s="11" t="n">
        <f aca="false">$C114*11</f>
        <v>21450</v>
      </c>
      <c r="Q114" s="11" t="n">
        <f aca="false">$C114*12</f>
        <v>23400</v>
      </c>
      <c r="R114" s="11" t="n">
        <f aca="false">$C114*13</f>
        <v>25350</v>
      </c>
      <c r="S114" s="11" t="n">
        <f aca="false">$C114*14</f>
        <v>27300</v>
      </c>
      <c r="T114" s="11" t="n">
        <f aca="false">$C114*15</f>
        <v>29250</v>
      </c>
      <c r="U114" s="11" t="n">
        <f aca="false">$C114*16</f>
        <v>31200</v>
      </c>
      <c r="V114" s="11" t="n">
        <f aca="false">$C114*17</f>
        <v>33150</v>
      </c>
      <c r="W114" s="11" t="n">
        <f aca="false">$C114*18</f>
        <v>35100</v>
      </c>
      <c r="X114" s="11" t="n">
        <f aca="false">$C114*19</f>
        <v>37050</v>
      </c>
      <c r="Y114" s="11" t="n">
        <f aca="false">$C114*20</f>
        <v>39000</v>
      </c>
    </row>
    <row r="115" customFormat="false" ht="15" hidden="false" customHeight="false" outlineLevel="0" collapsed="false">
      <c r="A115" s="0" t="s">
        <v>501</v>
      </c>
      <c r="B115" s="0" t="s">
        <v>502</v>
      </c>
      <c r="C115" s="11" t="n">
        <v>1876</v>
      </c>
      <c r="D115" s="0" t="s">
        <v>309</v>
      </c>
      <c r="E115" s="0" t="n">
        <v>126</v>
      </c>
      <c r="F115" s="11" t="n">
        <f aca="false">$C115*1</f>
        <v>1876</v>
      </c>
      <c r="G115" s="11" t="n">
        <f aca="false">$C115*2</f>
        <v>3752</v>
      </c>
      <c r="H115" s="11" t="n">
        <f aca="false">$C115*3</f>
        <v>5628</v>
      </c>
      <c r="I115" s="11" t="n">
        <f aca="false">$C115*4</f>
        <v>7504</v>
      </c>
      <c r="J115" s="11" t="n">
        <f aca="false">$C115*5</f>
        <v>9380</v>
      </c>
      <c r="K115" s="11" t="n">
        <f aca="false">$C115*6</f>
        <v>11256</v>
      </c>
      <c r="L115" s="11" t="n">
        <f aca="false">$C115*7</f>
        <v>13132</v>
      </c>
      <c r="M115" s="11" t="n">
        <f aca="false">$C115*8</f>
        <v>15008</v>
      </c>
      <c r="N115" s="11" t="n">
        <f aca="false">$C115*9</f>
        <v>16884</v>
      </c>
      <c r="O115" s="11" t="n">
        <f aca="false">$C115*10</f>
        <v>18760</v>
      </c>
      <c r="P115" s="11" t="n">
        <f aca="false">$C115*11</f>
        <v>20636</v>
      </c>
      <c r="Q115" s="11" t="n">
        <f aca="false">$C115*12</f>
        <v>22512</v>
      </c>
      <c r="R115" s="11" t="n">
        <f aca="false">$C115*13</f>
        <v>24388</v>
      </c>
      <c r="S115" s="11" t="n">
        <f aca="false">$C115*14</f>
        <v>26264</v>
      </c>
      <c r="T115" s="11" t="n">
        <f aca="false">$C115*15</f>
        <v>28140</v>
      </c>
      <c r="U115" s="11" t="n">
        <f aca="false">$C115*16</f>
        <v>30016</v>
      </c>
      <c r="V115" s="11" t="n">
        <f aca="false">$C115*17</f>
        <v>31892</v>
      </c>
      <c r="W115" s="11" t="n">
        <f aca="false">$C115*18</f>
        <v>33768</v>
      </c>
      <c r="X115" s="11" t="n">
        <f aca="false">$C115*19</f>
        <v>35644</v>
      </c>
      <c r="Y115" s="11" t="n">
        <f aca="false">$C115*20</f>
        <v>37520</v>
      </c>
    </row>
    <row r="116" customFormat="false" ht="15" hidden="false" customHeight="false" outlineLevel="0" collapsed="false">
      <c r="A116" s="0" t="s">
        <v>503</v>
      </c>
      <c r="B116" s="0" t="s">
        <v>504</v>
      </c>
      <c r="C116" s="11" t="n">
        <v>1398</v>
      </c>
      <c r="D116" s="0" t="s">
        <v>318</v>
      </c>
      <c r="E116" s="0" t="n">
        <v>96</v>
      </c>
      <c r="F116" s="11" t="n">
        <f aca="false">$C116*1</f>
        <v>1398</v>
      </c>
      <c r="G116" s="11" t="n">
        <f aca="false">$C116*2</f>
        <v>2796</v>
      </c>
      <c r="H116" s="11" t="n">
        <f aca="false">$C116*3</f>
        <v>4194</v>
      </c>
      <c r="I116" s="11" t="n">
        <f aca="false">$C116*4</f>
        <v>5592</v>
      </c>
      <c r="J116" s="11" t="n">
        <f aca="false">$C116*5</f>
        <v>6990</v>
      </c>
      <c r="K116" s="11" t="n">
        <f aca="false">$C116*6</f>
        <v>8388</v>
      </c>
      <c r="L116" s="11" t="n">
        <f aca="false">$C116*7</f>
        <v>9786</v>
      </c>
      <c r="M116" s="11" t="n">
        <f aca="false">$C116*8</f>
        <v>11184</v>
      </c>
      <c r="N116" s="11" t="n">
        <f aca="false">$C116*9</f>
        <v>12582</v>
      </c>
      <c r="O116" s="11" t="n">
        <f aca="false">$C116*10</f>
        <v>13980</v>
      </c>
      <c r="P116" s="11" t="n">
        <f aca="false">$C116*11</f>
        <v>15378</v>
      </c>
      <c r="Q116" s="11" t="n">
        <f aca="false">$C116*12</f>
        <v>16776</v>
      </c>
      <c r="R116" s="11" t="n">
        <f aca="false">$C116*13</f>
        <v>18174</v>
      </c>
      <c r="S116" s="11" t="n">
        <f aca="false">$C116*14</f>
        <v>19572</v>
      </c>
      <c r="T116" s="11" t="n">
        <f aca="false">$C116*15</f>
        <v>20970</v>
      </c>
      <c r="U116" s="11" t="n">
        <f aca="false">$C116*16</f>
        <v>22368</v>
      </c>
      <c r="V116" s="11" t="n">
        <f aca="false">$C116*17</f>
        <v>23766</v>
      </c>
      <c r="W116" s="11" t="n">
        <f aca="false">$C116*18</f>
        <v>25164</v>
      </c>
      <c r="X116" s="11" t="n">
        <f aca="false">$C116*19</f>
        <v>26562</v>
      </c>
      <c r="Y116" s="11" t="n">
        <f aca="false">$C116*20</f>
        <v>27960</v>
      </c>
    </row>
    <row r="117" customFormat="false" ht="15" hidden="false" customHeight="false" outlineLevel="0" collapsed="false">
      <c r="A117" s="0" t="s">
        <v>505</v>
      </c>
      <c r="B117" s="0" t="s">
        <v>506</v>
      </c>
      <c r="C117" s="11" t="n">
        <v>2489</v>
      </c>
      <c r="D117" s="0" t="s">
        <v>318</v>
      </c>
      <c r="E117" s="0" t="n">
        <v>8</v>
      </c>
      <c r="F117" s="11" t="n">
        <f aca="false">$C117*1</f>
        <v>2489</v>
      </c>
      <c r="G117" s="11" t="n">
        <f aca="false">$C117*2</f>
        <v>4978</v>
      </c>
      <c r="H117" s="11" t="n">
        <f aca="false">$C117*3</f>
        <v>7467</v>
      </c>
      <c r="I117" s="11" t="n">
        <f aca="false">$C117*4</f>
        <v>9956</v>
      </c>
      <c r="J117" s="11" t="n">
        <f aca="false">$C117*5</f>
        <v>12445</v>
      </c>
      <c r="K117" s="11" t="n">
        <f aca="false">$C117*6</f>
        <v>14934</v>
      </c>
      <c r="L117" s="11" t="n">
        <f aca="false">$C117*7</f>
        <v>17423</v>
      </c>
      <c r="M117" s="11" t="n">
        <f aca="false">$C117*8</f>
        <v>19912</v>
      </c>
      <c r="N117" s="11" t="n">
        <f aca="false">$C117*9</f>
        <v>22401</v>
      </c>
      <c r="O117" s="11" t="n">
        <f aca="false">$C117*10</f>
        <v>24890</v>
      </c>
      <c r="P117" s="11" t="n">
        <f aca="false">$C117*11</f>
        <v>27379</v>
      </c>
      <c r="Q117" s="11" t="n">
        <f aca="false">$C117*12</f>
        <v>29868</v>
      </c>
      <c r="R117" s="11" t="n">
        <f aca="false">$C117*13</f>
        <v>32357</v>
      </c>
      <c r="S117" s="11" t="n">
        <f aca="false">$C117*14</f>
        <v>34846</v>
      </c>
      <c r="T117" s="11" t="n">
        <f aca="false">$C117*15</f>
        <v>37335</v>
      </c>
      <c r="U117" s="11" t="n">
        <f aca="false">$C117*16</f>
        <v>39824</v>
      </c>
      <c r="V117" s="11" t="n">
        <f aca="false">$C117*17</f>
        <v>42313</v>
      </c>
      <c r="W117" s="11" t="n">
        <f aca="false">$C117*18</f>
        <v>44802</v>
      </c>
      <c r="X117" s="11" t="n">
        <f aca="false">$C117*19</f>
        <v>47291</v>
      </c>
      <c r="Y117" s="11" t="n">
        <f aca="false">$C117*20</f>
        <v>49780</v>
      </c>
    </row>
    <row r="118" customFormat="false" ht="15" hidden="false" customHeight="false" outlineLevel="0" collapsed="false">
      <c r="A118" s="0" t="s">
        <v>507</v>
      </c>
      <c r="B118" s="0" t="s">
        <v>499</v>
      </c>
      <c r="C118" s="11" t="n">
        <v>1412</v>
      </c>
      <c r="D118" s="0" t="s">
        <v>318</v>
      </c>
      <c r="E118" s="0" t="n">
        <v>203</v>
      </c>
      <c r="F118" s="11" t="n">
        <f aca="false">$C118*1</f>
        <v>1412</v>
      </c>
      <c r="G118" s="11" t="n">
        <f aca="false">$C118*2</f>
        <v>2824</v>
      </c>
      <c r="H118" s="11" t="n">
        <f aca="false">$C118*3</f>
        <v>4236</v>
      </c>
      <c r="I118" s="11" t="n">
        <f aca="false">$C118*4</f>
        <v>5648</v>
      </c>
      <c r="J118" s="11" t="n">
        <f aca="false">$C118*5</f>
        <v>7060</v>
      </c>
      <c r="K118" s="11" t="n">
        <f aca="false">$C118*6</f>
        <v>8472</v>
      </c>
      <c r="L118" s="11" t="n">
        <f aca="false">$C118*7</f>
        <v>9884</v>
      </c>
      <c r="M118" s="11" t="n">
        <f aca="false">$C118*8</f>
        <v>11296</v>
      </c>
      <c r="N118" s="11" t="n">
        <f aca="false">$C118*9</f>
        <v>12708</v>
      </c>
      <c r="O118" s="11" t="n">
        <f aca="false">$C118*10</f>
        <v>14120</v>
      </c>
      <c r="P118" s="11" t="n">
        <f aca="false">$C118*11</f>
        <v>15532</v>
      </c>
      <c r="Q118" s="11" t="n">
        <f aca="false">$C118*12</f>
        <v>16944</v>
      </c>
      <c r="R118" s="11" t="n">
        <f aca="false">$C118*13</f>
        <v>18356</v>
      </c>
      <c r="S118" s="11" t="n">
        <f aca="false">$C118*14</f>
        <v>19768</v>
      </c>
      <c r="T118" s="11" t="n">
        <f aca="false">$C118*15</f>
        <v>21180</v>
      </c>
      <c r="U118" s="11" t="n">
        <f aca="false">$C118*16</f>
        <v>22592</v>
      </c>
      <c r="V118" s="11" t="n">
        <f aca="false">$C118*17</f>
        <v>24004</v>
      </c>
      <c r="W118" s="11" t="n">
        <f aca="false">$C118*18</f>
        <v>25416</v>
      </c>
      <c r="X118" s="11" t="n">
        <f aca="false">$C118*19</f>
        <v>26828</v>
      </c>
      <c r="Y118" s="11" t="n">
        <f aca="false">$C118*20</f>
        <v>28240</v>
      </c>
    </row>
    <row r="119" customFormat="false" ht="15" hidden="false" customHeight="false" outlineLevel="0" collapsed="false">
      <c r="A119" s="0" t="s">
        <v>508</v>
      </c>
      <c r="B119" s="0" t="s">
        <v>509</v>
      </c>
      <c r="C119" s="11" t="n">
        <v>2099</v>
      </c>
      <c r="D119" s="0" t="s">
        <v>318</v>
      </c>
      <c r="E119" s="0" t="n">
        <v>99</v>
      </c>
      <c r="F119" s="11" t="n">
        <f aca="false">$C119*1</f>
        <v>2099</v>
      </c>
      <c r="G119" s="11" t="n">
        <f aca="false">$C119*2</f>
        <v>4198</v>
      </c>
      <c r="H119" s="11" t="n">
        <f aca="false">$C119*3</f>
        <v>6297</v>
      </c>
      <c r="I119" s="11" t="n">
        <f aca="false">$C119*4</f>
        <v>8396</v>
      </c>
      <c r="J119" s="11" t="n">
        <f aca="false">$C119*5</f>
        <v>10495</v>
      </c>
      <c r="K119" s="11" t="n">
        <f aca="false">$C119*6</f>
        <v>12594</v>
      </c>
      <c r="L119" s="11" t="n">
        <f aca="false">$C119*7</f>
        <v>14693</v>
      </c>
      <c r="M119" s="11" t="n">
        <f aca="false">$C119*8</f>
        <v>16792</v>
      </c>
      <c r="N119" s="11" t="n">
        <f aca="false">$C119*9</f>
        <v>18891</v>
      </c>
      <c r="O119" s="11" t="n">
        <f aca="false">$C119*10</f>
        <v>20990</v>
      </c>
      <c r="P119" s="11" t="n">
        <f aca="false">$C119*11</f>
        <v>23089</v>
      </c>
      <c r="Q119" s="11" t="n">
        <f aca="false">$C119*12</f>
        <v>25188</v>
      </c>
      <c r="R119" s="11" t="n">
        <f aca="false">$C119*13</f>
        <v>27287</v>
      </c>
      <c r="S119" s="11" t="n">
        <f aca="false">$C119*14</f>
        <v>29386</v>
      </c>
      <c r="T119" s="11" t="n">
        <f aca="false">$C119*15</f>
        <v>31485</v>
      </c>
      <c r="U119" s="11" t="n">
        <f aca="false">$C119*16</f>
        <v>33584</v>
      </c>
      <c r="V119" s="11" t="n">
        <f aca="false">$C119*17</f>
        <v>35683</v>
      </c>
      <c r="W119" s="11" t="n">
        <f aca="false">$C119*18</f>
        <v>37782</v>
      </c>
      <c r="X119" s="11" t="n">
        <f aca="false">$C119*19</f>
        <v>39881</v>
      </c>
      <c r="Y119" s="11" t="n">
        <f aca="false">$C119*20</f>
        <v>41980</v>
      </c>
    </row>
    <row r="120" customFormat="false" ht="15" hidden="false" customHeight="false" outlineLevel="0" collapsed="false">
      <c r="A120" s="0" t="s">
        <v>510</v>
      </c>
      <c r="B120" s="0" t="s">
        <v>511</v>
      </c>
      <c r="C120" s="11" t="n">
        <v>2082</v>
      </c>
      <c r="D120" s="0" t="s">
        <v>318</v>
      </c>
      <c r="E120" s="0" t="n">
        <v>287</v>
      </c>
      <c r="F120" s="11" t="n">
        <f aca="false">$C120*1</f>
        <v>2082</v>
      </c>
      <c r="G120" s="11" t="n">
        <f aca="false">$C120*2</f>
        <v>4164</v>
      </c>
      <c r="H120" s="11" t="n">
        <f aca="false">$C120*3</f>
        <v>6246</v>
      </c>
      <c r="I120" s="11" t="n">
        <f aca="false">$C120*4</f>
        <v>8328</v>
      </c>
      <c r="J120" s="11" t="n">
        <f aca="false">$C120*5</f>
        <v>10410</v>
      </c>
      <c r="K120" s="11" t="n">
        <f aca="false">$C120*6</f>
        <v>12492</v>
      </c>
      <c r="L120" s="11" t="n">
        <f aca="false">$C120*7</f>
        <v>14574</v>
      </c>
      <c r="M120" s="11" t="n">
        <f aca="false">$C120*8</f>
        <v>16656</v>
      </c>
      <c r="N120" s="11" t="n">
        <f aca="false">$C120*9</f>
        <v>18738</v>
      </c>
      <c r="O120" s="11" t="n">
        <f aca="false">$C120*10</f>
        <v>20820</v>
      </c>
      <c r="P120" s="11" t="n">
        <f aca="false">$C120*11</f>
        <v>22902</v>
      </c>
      <c r="Q120" s="11" t="n">
        <f aca="false">$C120*12</f>
        <v>24984</v>
      </c>
      <c r="R120" s="11" t="n">
        <f aca="false">$C120*13</f>
        <v>27066</v>
      </c>
      <c r="S120" s="11" t="n">
        <f aca="false">$C120*14</f>
        <v>29148</v>
      </c>
      <c r="T120" s="11" t="n">
        <f aca="false">$C120*15</f>
        <v>31230</v>
      </c>
      <c r="U120" s="11" t="n">
        <f aca="false">$C120*16</f>
        <v>33312</v>
      </c>
      <c r="V120" s="11" t="n">
        <f aca="false">$C120*17</f>
        <v>35394</v>
      </c>
      <c r="W120" s="11" t="n">
        <f aca="false">$C120*18</f>
        <v>37476</v>
      </c>
      <c r="X120" s="11" t="n">
        <f aca="false">$C120*19</f>
        <v>39558</v>
      </c>
      <c r="Y120" s="11" t="n">
        <f aca="false">$C120*20</f>
        <v>41640</v>
      </c>
    </row>
    <row r="121" customFormat="false" ht="15" hidden="false" customHeight="false" outlineLevel="0" collapsed="false">
      <c r="A121" s="0" t="s">
        <v>512</v>
      </c>
      <c r="B121" s="0" t="s">
        <v>513</v>
      </c>
      <c r="C121" s="11" t="n">
        <v>1500</v>
      </c>
      <c r="D121" s="0" t="s">
        <v>318</v>
      </c>
      <c r="E121" s="0" t="n">
        <v>1</v>
      </c>
      <c r="F121" s="11" t="n">
        <f aca="false">$C121*1</f>
        <v>1500</v>
      </c>
      <c r="G121" s="11" t="n">
        <f aca="false">$C121*2</f>
        <v>3000</v>
      </c>
      <c r="H121" s="11" t="n">
        <f aca="false">$C121*3</f>
        <v>4500</v>
      </c>
      <c r="I121" s="11" t="n">
        <f aca="false">$C121*4</f>
        <v>6000</v>
      </c>
      <c r="J121" s="11" t="n">
        <f aca="false">$C121*5</f>
        <v>7500</v>
      </c>
      <c r="K121" s="11" t="n">
        <f aca="false">$C121*6</f>
        <v>9000</v>
      </c>
      <c r="L121" s="11" t="n">
        <f aca="false">$C121*7</f>
        <v>10500</v>
      </c>
      <c r="M121" s="11" t="n">
        <f aca="false">$C121*8</f>
        <v>12000</v>
      </c>
      <c r="N121" s="11" t="n">
        <f aca="false">$C121*9</f>
        <v>13500</v>
      </c>
      <c r="O121" s="11" t="n">
        <f aca="false">$C121*10</f>
        <v>15000</v>
      </c>
      <c r="P121" s="11" t="n">
        <f aca="false">$C121*11</f>
        <v>16500</v>
      </c>
      <c r="Q121" s="11" t="n">
        <f aca="false">$C121*12</f>
        <v>18000</v>
      </c>
      <c r="R121" s="11" t="n">
        <f aca="false">$C121*13</f>
        <v>19500</v>
      </c>
      <c r="S121" s="11" t="n">
        <f aca="false">$C121*14</f>
        <v>21000</v>
      </c>
      <c r="T121" s="11" t="n">
        <f aca="false">$C121*15</f>
        <v>22500</v>
      </c>
      <c r="U121" s="11" t="n">
        <f aca="false">$C121*16</f>
        <v>24000</v>
      </c>
      <c r="V121" s="11" t="n">
        <f aca="false">$C121*17</f>
        <v>25500</v>
      </c>
      <c r="W121" s="11" t="n">
        <f aca="false">$C121*18</f>
        <v>27000</v>
      </c>
      <c r="X121" s="11" t="n">
        <f aca="false">$C121*19</f>
        <v>28500</v>
      </c>
      <c r="Y121" s="11" t="n">
        <f aca="false">$C121*20</f>
        <v>30000</v>
      </c>
    </row>
    <row r="122" customFormat="false" ht="15" hidden="false" customHeight="false" outlineLevel="0" collapsed="false">
      <c r="A122" s="0" t="s">
        <v>514</v>
      </c>
      <c r="B122" s="0" t="s">
        <v>515</v>
      </c>
      <c r="C122" s="11" t="n">
        <v>1384</v>
      </c>
      <c r="D122" s="0" t="s">
        <v>312</v>
      </c>
      <c r="E122" s="0" t="n">
        <v>4</v>
      </c>
      <c r="F122" s="11" t="n">
        <f aca="false">$C122*1</f>
        <v>1384</v>
      </c>
      <c r="G122" s="11" t="n">
        <f aca="false">$C122*2</f>
        <v>2768</v>
      </c>
      <c r="H122" s="11" t="n">
        <f aca="false">$C122*3</f>
        <v>4152</v>
      </c>
      <c r="I122" s="11" t="n">
        <f aca="false">$C122*4</f>
        <v>5536</v>
      </c>
      <c r="J122" s="11" t="n">
        <f aca="false">$C122*5</f>
        <v>6920</v>
      </c>
      <c r="K122" s="11" t="n">
        <f aca="false">$C122*6</f>
        <v>8304</v>
      </c>
      <c r="L122" s="11" t="n">
        <f aca="false">$C122*7</f>
        <v>9688</v>
      </c>
      <c r="M122" s="11" t="n">
        <f aca="false">$C122*8</f>
        <v>11072</v>
      </c>
      <c r="N122" s="11" t="n">
        <f aca="false">$C122*9</f>
        <v>12456</v>
      </c>
      <c r="O122" s="11" t="n">
        <f aca="false">$C122*10</f>
        <v>13840</v>
      </c>
      <c r="P122" s="11" t="n">
        <f aca="false">$C122*11</f>
        <v>15224</v>
      </c>
      <c r="Q122" s="11" t="n">
        <f aca="false">$C122*12</f>
        <v>16608</v>
      </c>
      <c r="R122" s="11" t="n">
        <f aca="false">$C122*13</f>
        <v>17992</v>
      </c>
      <c r="S122" s="11" t="n">
        <f aca="false">$C122*14</f>
        <v>19376</v>
      </c>
      <c r="T122" s="11" t="n">
        <f aca="false">$C122*15</f>
        <v>20760</v>
      </c>
      <c r="U122" s="11" t="n">
        <f aca="false">$C122*16</f>
        <v>22144</v>
      </c>
      <c r="V122" s="11" t="n">
        <f aca="false">$C122*17</f>
        <v>23528</v>
      </c>
      <c r="W122" s="11" t="n">
        <f aca="false">$C122*18</f>
        <v>24912</v>
      </c>
      <c r="X122" s="11" t="n">
        <f aca="false">$C122*19</f>
        <v>26296</v>
      </c>
      <c r="Y122" s="11" t="n">
        <f aca="false">$C122*20</f>
        <v>27680</v>
      </c>
    </row>
    <row r="123" customFormat="false" ht="15" hidden="false" customHeight="false" outlineLevel="0" collapsed="false">
      <c r="A123" s="0" t="s">
        <v>516</v>
      </c>
      <c r="B123" s="0" t="s">
        <v>517</v>
      </c>
      <c r="C123" s="11" t="n">
        <v>2392</v>
      </c>
      <c r="D123" s="0" t="s">
        <v>318</v>
      </c>
      <c r="E123" s="0" t="n">
        <v>159</v>
      </c>
      <c r="F123" s="11" t="n">
        <f aca="false">$C123*1</f>
        <v>2392</v>
      </c>
      <c r="G123" s="11" t="n">
        <f aca="false">$C123*2</f>
        <v>4784</v>
      </c>
      <c r="H123" s="11" t="n">
        <f aca="false">$C123*3</f>
        <v>7176</v>
      </c>
      <c r="I123" s="11" t="n">
        <f aca="false">$C123*4</f>
        <v>9568</v>
      </c>
      <c r="J123" s="11" t="n">
        <f aca="false">$C123*5</f>
        <v>11960</v>
      </c>
      <c r="K123" s="11" t="n">
        <f aca="false">$C123*6</f>
        <v>14352</v>
      </c>
      <c r="L123" s="11" t="n">
        <f aca="false">$C123*7</f>
        <v>16744</v>
      </c>
      <c r="M123" s="11" t="n">
        <f aca="false">$C123*8</f>
        <v>19136</v>
      </c>
      <c r="N123" s="11" t="n">
        <f aca="false">$C123*9</f>
        <v>21528</v>
      </c>
      <c r="O123" s="11" t="n">
        <f aca="false">$C123*10</f>
        <v>23920</v>
      </c>
      <c r="P123" s="11" t="n">
        <f aca="false">$C123*11</f>
        <v>26312</v>
      </c>
      <c r="Q123" s="11" t="n">
        <f aca="false">$C123*12</f>
        <v>28704</v>
      </c>
      <c r="R123" s="11" t="n">
        <f aca="false">$C123*13</f>
        <v>31096</v>
      </c>
      <c r="S123" s="11" t="n">
        <f aca="false">$C123*14</f>
        <v>33488</v>
      </c>
      <c r="T123" s="11" t="n">
        <f aca="false">$C123*15</f>
        <v>35880</v>
      </c>
      <c r="U123" s="11" t="n">
        <f aca="false">$C123*16</f>
        <v>38272</v>
      </c>
      <c r="V123" s="11" t="n">
        <f aca="false">$C123*17</f>
        <v>40664</v>
      </c>
      <c r="W123" s="11" t="n">
        <f aca="false">$C123*18</f>
        <v>43056</v>
      </c>
      <c r="X123" s="11" t="n">
        <f aca="false">$C123*19</f>
        <v>45448</v>
      </c>
      <c r="Y123" s="11" t="n">
        <f aca="false">$C123*20</f>
        <v>47840</v>
      </c>
    </row>
    <row r="124" customFormat="false" ht="15" hidden="false" customHeight="false" outlineLevel="0" collapsed="false">
      <c r="A124" s="0" t="s">
        <v>518</v>
      </c>
      <c r="B124" s="0" t="s">
        <v>430</v>
      </c>
      <c r="C124" s="11" t="n">
        <v>1286</v>
      </c>
      <c r="D124" s="0" t="s">
        <v>385</v>
      </c>
      <c r="E124" s="0" t="n">
        <v>13</v>
      </c>
      <c r="F124" s="11" t="n">
        <f aca="false">$C124*1</f>
        <v>1286</v>
      </c>
      <c r="G124" s="11" t="n">
        <f aca="false">$C124*2</f>
        <v>2572</v>
      </c>
      <c r="H124" s="11" t="n">
        <f aca="false">$C124*3</f>
        <v>3858</v>
      </c>
      <c r="I124" s="11" t="n">
        <f aca="false">$C124*4</f>
        <v>5144</v>
      </c>
      <c r="J124" s="11" t="n">
        <f aca="false">$C124*5</f>
        <v>6430</v>
      </c>
      <c r="K124" s="11" t="n">
        <f aca="false">$C124*6</f>
        <v>7716</v>
      </c>
      <c r="L124" s="11" t="n">
        <f aca="false">$C124*7</f>
        <v>9002</v>
      </c>
      <c r="M124" s="11" t="n">
        <f aca="false">$C124*8</f>
        <v>10288</v>
      </c>
      <c r="N124" s="11" t="n">
        <f aca="false">$C124*9</f>
        <v>11574</v>
      </c>
      <c r="O124" s="11" t="n">
        <f aca="false">$C124*10</f>
        <v>12860</v>
      </c>
      <c r="P124" s="11" t="n">
        <f aca="false">$C124*11</f>
        <v>14146</v>
      </c>
      <c r="Q124" s="11" t="n">
        <f aca="false">$C124*12</f>
        <v>15432</v>
      </c>
      <c r="R124" s="11" t="n">
        <f aca="false">$C124*13</f>
        <v>16718</v>
      </c>
      <c r="S124" s="11" t="n">
        <f aca="false">$C124*14</f>
        <v>18004</v>
      </c>
      <c r="T124" s="11" t="n">
        <f aca="false">$C124*15</f>
        <v>19290</v>
      </c>
      <c r="U124" s="11" t="n">
        <f aca="false">$C124*16</f>
        <v>20576</v>
      </c>
      <c r="V124" s="11" t="n">
        <f aca="false">$C124*17</f>
        <v>21862</v>
      </c>
      <c r="W124" s="11" t="n">
        <f aca="false">$C124*18</f>
        <v>23148</v>
      </c>
      <c r="X124" s="11" t="n">
        <f aca="false">$C124*19</f>
        <v>24434</v>
      </c>
      <c r="Y124" s="11" t="n">
        <f aca="false">$C124*20</f>
        <v>25720</v>
      </c>
    </row>
    <row r="125" customFormat="false" ht="15" hidden="false" customHeight="false" outlineLevel="0" collapsed="false">
      <c r="A125" s="0" t="s">
        <v>519</v>
      </c>
      <c r="B125" s="0" t="s">
        <v>476</v>
      </c>
      <c r="C125" s="11" t="n">
        <v>1538</v>
      </c>
      <c r="D125" s="0" t="s">
        <v>318</v>
      </c>
      <c r="E125" s="0" t="n">
        <v>14</v>
      </c>
      <c r="F125" s="11" t="n">
        <f aca="false">$C125*1</f>
        <v>1538</v>
      </c>
      <c r="G125" s="11" t="n">
        <f aca="false">$C125*2</f>
        <v>3076</v>
      </c>
      <c r="H125" s="11" t="n">
        <f aca="false">$C125*3</f>
        <v>4614</v>
      </c>
      <c r="I125" s="11" t="n">
        <f aca="false">$C125*4</f>
        <v>6152</v>
      </c>
      <c r="J125" s="11" t="n">
        <f aca="false">$C125*5</f>
        <v>7690</v>
      </c>
      <c r="K125" s="11" t="n">
        <f aca="false">$C125*6</f>
        <v>9228</v>
      </c>
      <c r="L125" s="11" t="n">
        <f aca="false">$C125*7</f>
        <v>10766</v>
      </c>
      <c r="M125" s="11" t="n">
        <f aca="false">$C125*8</f>
        <v>12304</v>
      </c>
      <c r="N125" s="11" t="n">
        <f aca="false">$C125*9</f>
        <v>13842</v>
      </c>
      <c r="O125" s="11" t="n">
        <f aca="false">$C125*10</f>
        <v>15380</v>
      </c>
      <c r="P125" s="11" t="n">
        <f aca="false">$C125*11</f>
        <v>16918</v>
      </c>
      <c r="Q125" s="11" t="n">
        <f aca="false">$C125*12</f>
        <v>18456</v>
      </c>
      <c r="R125" s="11" t="n">
        <f aca="false">$C125*13</f>
        <v>19994</v>
      </c>
      <c r="S125" s="11" t="n">
        <f aca="false">$C125*14</f>
        <v>21532</v>
      </c>
      <c r="T125" s="11" t="n">
        <f aca="false">$C125*15</f>
        <v>23070</v>
      </c>
      <c r="U125" s="11" t="n">
        <f aca="false">$C125*16</f>
        <v>24608</v>
      </c>
      <c r="V125" s="11" t="n">
        <f aca="false">$C125*17</f>
        <v>26146</v>
      </c>
      <c r="W125" s="11" t="n">
        <f aca="false">$C125*18</f>
        <v>27684</v>
      </c>
      <c r="X125" s="11" t="n">
        <f aca="false">$C125*19</f>
        <v>29222</v>
      </c>
      <c r="Y125" s="11" t="n">
        <f aca="false">$C125*20</f>
        <v>30760</v>
      </c>
    </row>
    <row r="126" customFormat="false" ht="15" hidden="false" customHeight="false" outlineLevel="0" collapsed="false">
      <c r="A126" s="0" t="s">
        <v>520</v>
      </c>
      <c r="B126" s="0" t="s">
        <v>314</v>
      </c>
      <c r="C126" s="11" t="n">
        <v>2211</v>
      </c>
      <c r="D126" s="0" t="s">
        <v>318</v>
      </c>
      <c r="E126" s="0" t="n">
        <v>7</v>
      </c>
      <c r="F126" s="11" t="n">
        <f aca="false">$C126*1</f>
        <v>2211</v>
      </c>
      <c r="G126" s="11" t="n">
        <f aca="false">$C126*2</f>
        <v>4422</v>
      </c>
      <c r="H126" s="11" t="n">
        <f aca="false">$C126*3</f>
        <v>6633</v>
      </c>
      <c r="I126" s="11" t="n">
        <f aca="false">$C126*4</f>
        <v>8844</v>
      </c>
      <c r="J126" s="11" t="n">
        <f aca="false">$C126*5</f>
        <v>11055</v>
      </c>
      <c r="K126" s="11" t="n">
        <f aca="false">$C126*6</f>
        <v>13266</v>
      </c>
      <c r="L126" s="11" t="n">
        <f aca="false">$C126*7</f>
        <v>15477</v>
      </c>
      <c r="M126" s="11" t="n">
        <f aca="false">$C126*8</f>
        <v>17688</v>
      </c>
      <c r="N126" s="11" t="n">
        <f aca="false">$C126*9</f>
        <v>19899</v>
      </c>
      <c r="O126" s="11" t="n">
        <f aca="false">$C126*10</f>
        <v>22110</v>
      </c>
      <c r="P126" s="11" t="n">
        <f aca="false">$C126*11</f>
        <v>24321</v>
      </c>
      <c r="Q126" s="11" t="n">
        <f aca="false">$C126*12</f>
        <v>26532</v>
      </c>
      <c r="R126" s="11" t="n">
        <f aca="false">$C126*13</f>
        <v>28743</v>
      </c>
      <c r="S126" s="11" t="n">
        <f aca="false">$C126*14</f>
        <v>30954</v>
      </c>
      <c r="T126" s="11" t="n">
        <f aca="false">$C126*15</f>
        <v>33165</v>
      </c>
      <c r="U126" s="11" t="n">
        <f aca="false">$C126*16</f>
        <v>35376</v>
      </c>
      <c r="V126" s="11" t="n">
        <f aca="false">$C126*17</f>
        <v>37587</v>
      </c>
      <c r="W126" s="11" t="n">
        <f aca="false">$C126*18</f>
        <v>39798</v>
      </c>
      <c r="X126" s="11" t="n">
        <f aca="false">$C126*19</f>
        <v>42009</v>
      </c>
      <c r="Y126" s="11" t="n">
        <f aca="false">$C126*20</f>
        <v>44220</v>
      </c>
    </row>
    <row r="127" customFormat="false" ht="15" hidden="false" customHeight="false" outlineLevel="0" collapsed="false">
      <c r="A127" s="0" t="s">
        <v>521</v>
      </c>
      <c r="B127" s="0" t="s">
        <v>370</v>
      </c>
      <c r="C127" s="11" t="n">
        <v>643</v>
      </c>
      <c r="D127" s="0" t="s">
        <v>418</v>
      </c>
      <c r="E127" s="0" t="n">
        <v>13</v>
      </c>
      <c r="F127" s="11" t="n">
        <f aca="false">$C127*1</f>
        <v>643</v>
      </c>
      <c r="G127" s="11" t="n">
        <f aca="false">$C127*2</f>
        <v>1286</v>
      </c>
      <c r="H127" s="11" t="n">
        <f aca="false">$C127*3</f>
        <v>1929</v>
      </c>
      <c r="I127" s="11" t="n">
        <f aca="false">$C127*4</f>
        <v>2572</v>
      </c>
      <c r="J127" s="11" t="n">
        <f aca="false">$C127*5</f>
        <v>3215</v>
      </c>
      <c r="K127" s="11" t="n">
        <f aca="false">$C127*6</f>
        <v>3858</v>
      </c>
      <c r="L127" s="11" t="n">
        <f aca="false">$C127*7</f>
        <v>4501</v>
      </c>
      <c r="M127" s="11" t="n">
        <f aca="false">$C127*8</f>
        <v>5144</v>
      </c>
      <c r="N127" s="11" t="n">
        <f aca="false">$C127*9</f>
        <v>5787</v>
      </c>
      <c r="O127" s="11" t="n">
        <f aca="false">$C127*10</f>
        <v>6430</v>
      </c>
      <c r="P127" s="11" t="n">
        <f aca="false">$C127*11</f>
        <v>7073</v>
      </c>
      <c r="Q127" s="11" t="n">
        <f aca="false">$C127*12</f>
        <v>7716</v>
      </c>
      <c r="R127" s="11" t="n">
        <f aca="false">$C127*13</f>
        <v>8359</v>
      </c>
      <c r="S127" s="11" t="n">
        <f aca="false">$C127*14</f>
        <v>9002</v>
      </c>
      <c r="T127" s="11" t="n">
        <f aca="false">$C127*15</f>
        <v>9645</v>
      </c>
      <c r="U127" s="11" t="n">
        <f aca="false">$C127*16</f>
        <v>10288</v>
      </c>
      <c r="V127" s="11" t="n">
        <f aca="false">$C127*17</f>
        <v>10931</v>
      </c>
      <c r="W127" s="11" t="n">
        <f aca="false">$C127*18</f>
        <v>11574</v>
      </c>
      <c r="X127" s="11" t="n">
        <f aca="false">$C127*19</f>
        <v>12217</v>
      </c>
      <c r="Y127" s="11" t="n">
        <f aca="false">$C127*20</f>
        <v>12860</v>
      </c>
    </row>
    <row r="128" customFormat="false" ht="15" hidden="false" customHeight="false" outlineLevel="0" collapsed="false">
      <c r="A128" s="0" t="s">
        <v>522</v>
      </c>
      <c r="B128" s="0" t="s">
        <v>523</v>
      </c>
      <c r="C128" s="11" t="n">
        <v>1566</v>
      </c>
      <c r="D128" s="0" t="s">
        <v>318</v>
      </c>
      <c r="E128" s="0" t="n">
        <v>23</v>
      </c>
      <c r="F128" s="11" t="n">
        <f aca="false">$C128*1</f>
        <v>1566</v>
      </c>
      <c r="G128" s="11" t="n">
        <f aca="false">$C128*2</f>
        <v>3132</v>
      </c>
      <c r="H128" s="11" t="n">
        <f aca="false">$C128*3</f>
        <v>4698</v>
      </c>
      <c r="I128" s="11" t="n">
        <f aca="false">$C128*4</f>
        <v>6264</v>
      </c>
      <c r="J128" s="11" t="n">
        <f aca="false">$C128*5</f>
        <v>7830</v>
      </c>
      <c r="K128" s="11" t="n">
        <f aca="false">$C128*6</f>
        <v>9396</v>
      </c>
      <c r="L128" s="11" t="n">
        <f aca="false">$C128*7</f>
        <v>10962</v>
      </c>
      <c r="M128" s="11" t="n">
        <f aca="false">$C128*8</f>
        <v>12528</v>
      </c>
      <c r="N128" s="11" t="n">
        <f aca="false">$C128*9</f>
        <v>14094</v>
      </c>
      <c r="O128" s="11" t="n">
        <f aca="false">$C128*10</f>
        <v>15660</v>
      </c>
      <c r="P128" s="11" t="n">
        <f aca="false">$C128*11</f>
        <v>17226</v>
      </c>
      <c r="Q128" s="11" t="n">
        <f aca="false">$C128*12</f>
        <v>18792</v>
      </c>
      <c r="R128" s="11" t="n">
        <f aca="false">$C128*13</f>
        <v>20358</v>
      </c>
      <c r="S128" s="11" t="n">
        <f aca="false">$C128*14</f>
        <v>21924</v>
      </c>
      <c r="T128" s="11" t="n">
        <f aca="false">$C128*15</f>
        <v>23490</v>
      </c>
      <c r="U128" s="11" t="n">
        <f aca="false">$C128*16</f>
        <v>25056</v>
      </c>
      <c r="V128" s="11" t="n">
        <f aca="false">$C128*17</f>
        <v>26622</v>
      </c>
      <c r="W128" s="11" t="n">
        <f aca="false">$C128*18</f>
        <v>28188</v>
      </c>
      <c r="X128" s="11" t="n">
        <f aca="false">$C128*19</f>
        <v>29754</v>
      </c>
      <c r="Y128" s="11" t="n">
        <f aca="false">$C128*20</f>
        <v>31320</v>
      </c>
    </row>
    <row r="129" customFormat="false" ht="15" hidden="false" customHeight="false" outlineLevel="0" collapsed="false">
      <c r="A129" s="0" t="s">
        <v>524</v>
      </c>
      <c r="B129" s="0" t="s">
        <v>525</v>
      </c>
      <c r="C129" s="11" t="n">
        <v>1442</v>
      </c>
      <c r="D129" s="0" t="s">
        <v>312</v>
      </c>
      <c r="E129" s="0" t="n">
        <v>90</v>
      </c>
      <c r="F129" s="11" t="n">
        <f aca="false">$C129*1</f>
        <v>1442</v>
      </c>
      <c r="G129" s="11" t="n">
        <f aca="false">$C129*2</f>
        <v>2884</v>
      </c>
      <c r="H129" s="11" t="n">
        <f aca="false">$C129*3</f>
        <v>4326</v>
      </c>
      <c r="I129" s="11" t="n">
        <f aca="false">$C129*4</f>
        <v>5768</v>
      </c>
      <c r="J129" s="11" t="n">
        <f aca="false">$C129*5</f>
        <v>7210</v>
      </c>
      <c r="K129" s="11" t="n">
        <f aca="false">$C129*6</f>
        <v>8652</v>
      </c>
      <c r="L129" s="11" t="n">
        <f aca="false">$C129*7</f>
        <v>10094</v>
      </c>
      <c r="M129" s="11" t="n">
        <f aca="false">$C129*8</f>
        <v>11536</v>
      </c>
      <c r="N129" s="11" t="n">
        <f aca="false">$C129*9</f>
        <v>12978</v>
      </c>
      <c r="O129" s="11" t="n">
        <f aca="false">$C129*10</f>
        <v>14420</v>
      </c>
      <c r="P129" s="11" t="n">
        <f aca="false">$C129*11</f>
        <v>15862</v>
      </c>
      <c r="Q129" s="11" t="n">
        <f aca="false">$C129*12</f>
        <v>17304</v>
      </c>
      <c r="R129" s="11" t="n">
        <f aca="false">$C129*13</f>
        <v>18746</v>
      </c>
      <c r="S129" s="11" t="n">
        <f aca="false">$C129*14</f>
        <v>20188</v>
      </c>
      <c r="T129" s="11" t="n">
        <f aca="false">$C129*15</f>
        <v>21630</v>
      </c>
      <c r="U129" s="11" t="n">
        <f aca="false">$C129*16</f>
        <v>23072</v>
      </c>
      <c r="V129" s="11" t="n">
        <f aca="false">$C129*17</f>
        <v>24514</v>
      </c>
      <c r="W129" s="11" t="n">
        <f aca="false">$C129*18</f>
        <v>25956</v>
      </c>
      <c r="X129" s="11" t="n">
        <f aca="false">$C129*19</f>
        <v>27398</v>
      </c>
      <c r="Y129" s="11" t="n">
        <f aca="false">$C129*20</f>
        <v>28840</v>
      </c>
    </row>
    <row r="130" customFormat="false" ht="15" hidden="false" customHeight="false" outlineLevel="0" collapsed="false">
      <c r="A130" s="0" t="s">
        <v>526</v>
      </c>
      <c r="B130" s="0" t="s">
        <v>314</v>
      </c>
      <c r="C130" s="11" t="n">
        <v>2601</v>
      </c>
      <c r="D130" s="0" t="s">
        <v>527</v>
      </c>
      <c r="E130" s="0" t="n">
        <v>9</v>
      </c>
      <c r="F130" s="11" t="n">
        <f aca="false">$C130*1</f>
        <v>2601</v>
      </c>
      <c r="G130" s="11" t="n">
        <f aca="false">$C130*2</f>
        <v>5202</v>
      </c>
      <c r="H130" s="11" t="n">
        <f aca="false">$C130*3</f>
        <v>7803</v>
      </c>
      <c r="I130" s="11" t="n">
        <f aca="false">$C130*4</f>
        <v>10404</v>
      </c>
      <c r="J130" s="11" t="n">
        <f aca="false">$C130*5</f>
        <v>13005</v>
      </c>
      <c r="K130" s="11" t="n">
        <f aca="false">$C130*6</f>
        <v>15606</v>
      </c>
      <c r="L130" s="11" t="n">
        <f aca="false">$C130*7</f>
        <v>18207</v>
      </c>
      <c r="M130" s="11" t="n">
        <f aca="false">$C130*8</f>
        <v>20808</v>
      </c>
      <c r="N130" s="11" t="n">
        <f aca="false">$C130*9</f>
        <v>23409</v>
      </c>
      <c r="O130" s="11" t="n">
        <f aca="false">$C130*10</f>
        <v>26010</v>
      </c>
      <c r="P130" s="11" t="n">
        <f aca="false">$C130*11</f>
        <v>28611</v>
      </c>
      <c r="Q130" s="11" t="n">
        <f aca="false">$C130*12</f>
        <v>31212</v>
      </c>
      <c r="R130" s="11" t="n">
        <f aca="false">$C130*13</f>
        <v>33813</v>
      </c>
      <c r="S130" s="11" t="n">
        <f aca="false">$C130*14</f>
        <v>36414</v>
      </c>
      <c r="T130" s="11" t="n">
        <f aca="false">$C130*15</f>
        <v>39015</v>
      </c>
      <c r="U130" s="11" t="n">
        <f aca="false">$C130*16</f>
        <v>41616</v>
      </c>
      <c r="V130" s="11" t="n">
        <f aca="false">$C130*17</f>
        <v>44217</v>
      </c>
      <c r="W130" s="11" t="n">
        <f aca="false">$C130*18</f>
        <v>46818</v>
      </c>
      <c r="X130" s="11" t="n">
        <f aca="false">$C130*19</f>
        <v>49419</v>
      </c>
      <c r="Y130" s="11" t="n">
        <f aca="false">$C130*20</f>
        <v>52020</v>
      </c>
    </row>
    <row r="131" customFormat="false" ht="15" hidden="false" customHeight="false" outlineLevel="0" collapsed="false">
      <c r="A131" s="0" t="s">
        <v>528</v>
      </c>
      <c r="B131" s="0" t="s">
        <v>529</v>
      </c>
      <c r="C131" s="11" t="n">
        <v>1773</v>
      </c>
      <c r="D131" s="0" t="s">
        <v>318</v>
      </c>
      <c r="E131" s="0" t="n">
        <v>417</v>
      </c>
      <c r="F131" s="11" t="n">
        <f aca="false">$C131*1</f>
        <v>1773</v>
      </c>
      <c r="G131" s="11" t="n">
        <f aca="false">$C131*2</f>
        <v>3546</v>
      </c>
      <c r="H131" s="11" t="n">
        <f aca="false">$C131*3</f>
        <v>5319</v>
      </c>
      <c r="I131" s="11" t="n">
        <f aca="false">$C131*4</f>
        <v>7092</v>
      </c>
      <c r="J131" s="11" t="n">
        <f aca="false">$C131*5</f>
        <v>8865</v>
      </c>
      <c r="K131" s="11" t="n">
        <f aca="false">$C131*6</f>
        <v>10638</v>
      </c>
      <c r="L131" s="11" t="n">
        <f aca="false">$C131*7</f>
        <v>12411</v>
      </c>
      <c r="M131" s="11" t="n">
        <f aca="false">$C131*8</f>
        <v>14184</v>
      </c>
      <c r="N131" s="11" t="n">
        <f aca="false">$C131*9</f>
        <v>15957</v>
      </c>
      <c r="O131" s="11" t="n">
        <f aca="false">$C131*10</f>
        <v>17730</v>
      </c>
      <c r="P131" s="11" t="n">
        <f aca="false">$C131*11</f>
        <v>19503</v>
      </c>
      <c r="Q131" s="11" t="n">
        <f aca="false">$C131*12</f>
        <v>21276</v>
      </c>
      <c r="R131" s="11" t="n">
        <f aca="false">$C131*13</f>
        <v>23049</v>
      </c>
      <c r="S131" s="11" t="n">
        <f aca="false">$C131*14</f>
        <v>24822</v>
      </c>
      <c r="T131" s="11" t="n">
        <f aca="false">$C131*15</f>
        <v>26595</v>
      </c>
      <c r="U131" s="11" t="n">
        <f aca="false">$C131*16</f>
        <v>28368</v>
      </c>
      <c r="V131" s="11" t="n">
        <f aca="false">$C131*17</f>
        <v>30141</v>
      </c>
      <c r="W131" s="11" t="n">
        <f aca="false">$C131*18</f>
        <v>31914</v>
      </c>
      <c r="X131" s="11" t="n">
        <f aca="false">$C131*19</f>
        <v>33687</v>
      </c>
      <c r="Y131" s="11" t="n">
        <f aca="false">$C131*20</f>
        <v>35460</v>
      </c>
    </row>
    <row r="132" customFormat="false" ht="15" hidden="false" customHeight="false" outlineLevel="0" collapsed="false">
      <c r="A132" s="0" t="s">
        <v>530</v>
      </c>
      <c r="B132" s="0" t="s">
        <v>531</v>
      </c>
      <c r="C132" s="11" t="n">
        <v>1772</v>
      </c>
      <c r="D132" s="0" t="s">
        <v>318</v>
      </c>
      <c r="E132" s="0" t="n">
        <v>1248</v>
      </c>
      <c r="F132" s="11" t="n">
        <f aca="false">$C132*1</f>
        <v>1772</v>
      </c>
      <c r="G132" s="11" t="n">
        <f aca="false">$C132*2</f>
        <v>3544</v>
      </c>
      <c r="H132" s="11" t="n">
        <f aca="false">$C132*3</f>
        <v>5316</v>
      </c>
      <c r="I132" s="11" t="n">
        <f aca="false">$C132*4</f>
        <v>7088</v>
      </c>
      <c r="J132" s="11" t="n">
        <f aca="false">$C132*5</f>
        <v>8860</v>
      </c>
      <c r="K132" s="11" t="n">
        <f aca="false">$C132*6</f>
        <v>10632</v>
      </c>
      <c r="L132" s="11" t="n">
        <f aca="false">$C132*7</f>
        <v>12404</v>
      </c>
      <c r="M132" s="11" t="n">
        <f aca="false">$C132*8</f>
        <v>14176</v>
      </c>
      <c r="N132" s="11" t="n">
        <f aca="false">$C132*9</f>
        <v>15948</v>
      </c>
      <c r="O132" s="11" t="n">
        <f aca="false">$C132*10</f>
        <v>17720</v>
      </c>
      <c r="P132" s="11" t="n">
        <f aca="false">$C132*11</f>
        <v>19492</v>
      </c>
      <c r="Q132" s="11" t="n">
        <f aca="false">$C132*12</f>
        <v>21264</v>
      </c>
      <c r="R132" s="11" t="n">
        <f aca="false">$C132*13</f>
        <v>23036</v>
      </c>
      <c r="S132" s="11" t="n">
        <f aca="false">$C132*14</f>
        <v>24808</v>
      </c>
      <c r="T132" s="11" t="n">
        <f aca="false">$C132*15</f>
        <v>26580</v>
      </c>
      <c r="U132" s="11" t="n">
        <f aca="false">$C132*16</f>
        <v>28352</v>
      </c>
      <c r="V132" s="11" t="n">
        <f aca="false">$C132*17</f>
        <v>30124</v>
      </c>
      <c r="W132" s="11" t="n">
        <f aca="false">$C132*18</f>
        <v>31896</v>
      </c>
      <c r="X132" s="11" t="n">
        <f aca="false">$C132*19</f>
        <v>33668</v>
      </c>
      <c r="Y132" s="11" t="n">
        <f aca="false">$C132*20</f>
        <v>35440</v>
      </c>
    </row>
    <row r="133" customFormat="false" ht="15" hidden="false" customHeight="false" outlineLevel="0" collapsed="false">
      <c r="A133" s="0" t="s">
        <v>532</v>
      </c>
      <c r="B133" s="0" t="s">
        <v>533</v>
      </c>
      <c r="C133" s="11" t="n">
        <v>1189</v>
      </c>
      <c r="D133" s="0" t="s">
        <v>318</v>
      </c>
      <c r="E133" s="0" t="n">
        <v>137</v>
      </c>
      <c r="F133" s="11" t="n">
        <f aca="false">$C133*1</f>
        <v>1189</v>
      </c>
      <c r="G133" s="11" t="n">
        <f aca="false">$C133*2</f>
        <v>2378</v>
      </c>
      <c r="H133" s="11" t="n">
        <f aca="false">$C133*3</f>
        <v>3567</v>
      </c>
      <c r="I133" s="11" t="n">
        <f aca="false">$C133*4</f>
        <v>4756</v>
      </c>
      <c r="J133" s="11" t="n">
        <f aca="false">$C133*5</f>
        <v>5945</v>
      </c>
      <c r="K133" s="11" t="n">
        <f aca="false">$C133*6</f>
        <v>7134</v>
      </c>
      <c r="L133" s="11" t="n">
        <f aca="false">$C133*7</f>
        <v>8323</v>
      </c>
      <c r="M133" s="11" t="n">
        <f aca="false">$C133*8</f>
        <v>9512</v>
      </c>
      <c r="N133" s="11" t="n">
        <f aca="false">$C133*9</f>
        <v>10701</v>
      </c>
      <c r="O133" s="11" t="n">
        <f aca="false">$C133*10</f>
        <v>11890</v>
      </c>
      <c r="P133" s="11" t="n">
        <f aca="false">$C133*11</f>
        <v>13079</v>
      </c>
      <c r="Q133" s="11" t="n">
        <f aca="false">$C133*12</f>
        <v>14268</v>
      </c>
      <c r="R133" s="11" t="n">
        <f aca="false">$C133*13</f>
        <v>15457</v>
      </c>
      <c r="S133" s="11" t="n">
        <f aca="false">$C133*14</f>
        <v>16646</v>
      </c>
      <c r="T133" s="11" t="n">
        <f aca="false">$C133*15</f>
        <v>17835</v>
      </c>
      <c r="U133" s="11" t="n">
        <f aca="false">$C133*16</f>
        <v>19024</v>
      </c>
      <c r="V133" s="11" t="n">
        <f aca="false">$C133*17</f>
        <v>20213</v>
      </c>
      <c r="W133" s="11" t="n">
        <f aca="false">$C133*18</f>
        <v>21402</v>
      </c>
      <c r="X133" s="11" t="n">
        <f aca="false">$C133*19</f>
        <v>22591</v>
      </c>
      <c r="Y133" s="11" t="n">
        <f aca="false">$C133*20</f>
        <v>23780</v>
      </c>
    </row>
    <row r="134" customFormat="false" ht="15" hidden="false" customHeight="false" outlineLevel="0" collapsed="false">
      <c r="A134" s="0" t="s">
        <v>534</v>
      </c>
      <c r="B134" s="0" t="s">
        <v>535</v>
      </c>
      <c r="C134" s="11" t="n">
        <v>1953</v>
      </c>
      <c r="D134" s="0" t="s">
        <v>309</v>
      </c>
      <c r="E134" s="0" t="n">
        <v>200</v>
      </c>
      <c r="F134" s="11" t="n">
        <f aca="false">$C134*1</f>
        <v>1953</v>
      </c>
      <c r="G134" s="11" t="n">
        <f aca="false">$C134*2</f>
        <v>3906</v>
      </c>
      <c r="H134" s="11" t="n">
        <f aca="false">$C134*3</f>
        <v>5859</v>
      </c>
      <c r="I134" s="11" t="n">
        <f aca="false">$C134*4</f>
        <v>7812</v>
      </c>
      <c r="J134" s="11" t="n">
        <f aca="false">$C134*5</f>
        <v>9765</v>
      </c>
      <c r="K134" s="11" t="n">
        <f aca="false">$C134*6</f>
        <v>11718</v>
      </c>
      <c r="L134" s="11" t="n">
        <f aca="false">$C134*7</f>
        <v>13671</v>
      </c>
      <c r="M134" s="11" t="n">
        <f aca="false">$C134*8</f>
        <v>15624</v>
      </c>
      <c r="N134" s="11" t="n">
        <f aca="false">$C134*9</f>
        <v>17577</v>
      </c>
      <c r="O134" s="11" t="n">
        <f aca="false">$C134*10</f>
        <v>19530</v>
      </c>
      <c r="P134" s="11" t="n">
        <f aca="false">$C134*11</f>
        <v>21483</v>
      </c>
      <c r="Q134" s="11" t="n">
        <f aca="false">$C134*12</f>
        <v>23436</v>
      </c>
      <c r="R134" s="11" t="n">
        <f aca="false">$C134*13</f>
        <v>25389</v>
      </c>
      <c r="S134" s="11" t="n">
        <f aca="false">$C134*14</f>
        <v>27342</v>
      </c>
      <c r="T134" s="11" t="n">
        <f aca="false">$C134*15</f>
        <v>29295</v>
      </c>
      <c r="U134" s="11" t="n">
        <f aca="false">$C134*16</f>
        <v>31248</v>
      </c>
      <c r="V134" s="11" t="n">
        <f aca="false">$C134*17</f>
        <v>33201</v>
      </c>
      <c r="W134" s="11" t="n">
        <f aca="false">$C134*18</f>
        <v>35154</v>
      </c>
      <c r="X134" s="11" t="n">
        <f aca="false">$C134*19</f>
        <v>37107</v>
      </c>
      <c r="Y134" s="11" t="n">
        <f aca="false">$C134*20</f>
        <v>39060</v>
      </c>
    </row>
    <row r="135" customFormat="false" ht="15" hidden="false" customHeight="false" outlineLevel="0" collapsed="false">
      <c r="A135" s="0" t="s">
        <v>536</v>
      </c>
      <c r="B135" s="0" t="s">
        <v>537</v>
      </c>
      <c r="C135" s="11" t="n">
        <v>890</v>
      </c>
      <c r="D135" s="0" t="s">
        <v>538</v>
      </c>
      <c r="E135" s="0" t="n">
        <v>185</v>
      </c>
      <c r="F135" s="11" t="n">
        <f aca="false">$C135*1</f>
        <v>890</v>
      </c>
      <c r="G135" s="11" t="n">
        <f aca="false">$C135*2</f>
        <v>1780</v>
      </c>
      <c r="H135" s="11" t="n">
        <f aca="false">$C135*3</f>
        <v>2670</v>
      </c>
      <c r="I135" s="11" t="n">
        <f aca="false">$C135*4</f>
        <v>3560</v>
      </c>
      <c r="J135" s="11" t="n">
        <f aca="false">$C135*5</f>
        <v>4450</v>
      </c>
      <c r="K135" s="11" t="n">
        <f aca="false">$C135*6</f>
        <v>5340</v>
      </c>
      <c r="L135" s="11" t="n">
        <f aca="false">$C135*7</f>
        <v>6230</v>
      </c>
      <c r="M135" s="11" t="n">
        <f aca="false">$C135*8</f>
        <v>7120</v>
      </c>
      <c r="N135" s="11" t="n">
        <f aca="false">$C135*9</f>
        <v>8010</v>
      </c>
      <c r="O135" s="11" t="n">
        <f aca="false">$C135*10</f>
        <v>8900</v>
      </c>
      <c r="P135" s="11" t="n">
        <f aca="false">$C135*11</f>
        <v>9790</v>
      </c>
      <c r="Q135" s="11" t="n">
        <f aca="false">$C135*12</f>
        <v>10680</v>
      </c>
      <c r="R135" s="11" t="n">
        <f aca="false">$C135*13</f>
        <v>11570</v>
      </c>
      <c r="S135" s="11" t="n">
        <f aca="false">$C135*14</f>
        <v>12460</v>
      </c>
      <c r="T135" s="11" t="n">
        <f aca="false">$C135*15</f>
        <v>13350</v>
      </c>
      <c r="U135" s="11" t="n">
        <f aca="false">$C135*16</f>
        <v>14240</v>
      </c>
      <c r="V135" s="11" t="n">
        <f aca="false">$C135*17</f>
        <v>15130</v>
      </c>
      <c r="W135" s="11" t="n">
        <f aca="false">$C135*18</f>
        <v>16020</v>
      </c>
      <c r="X135" s="11" t="n">
        <f aca="false">$C135*19</f>
        <v>16910</v>
      </c>
      <c r="Y135" s="11" t="n">
        <f aca="false">$C135*20</f>
        <v>17800</v>
      </c>
    </row>
    <row r="136" customFormat="false" ht="15" hidden="false" customHeight="false" outlineLevel="0" collapsed="false">
      <c r="A136" s="0" t="s">
        <v>539</v>
      </c>
      <c r="B136" s="0" t="s">
        <v>540</v>
      </c>
      <c r="C136" s="11" t="n">
        <v>1050</v>
      </c>
      <c r="D136" s="0" t="s">
        <v>541</v>
      </c>
      <c r="E136" s="0" t="n">
        <v>249</v>
      </c>
      <c r="F136" s="11" t="n">
        <f aca="false">$C136*1</f>
        <v>1050</v>
      </c>
      <c r="G136" s="11" t="n">
        <f aca="false">$C136*2</f>
        <v>2100</v>
      </c>
      <c r="H136" s="11" t="n">
        <f aca="false">$C136*3</f>
        <v>3150</v>
      </c>
      <c r="I136" s="11" t="n">
        <f aca="false">$C136*4</f>
        <v>4200</v>
      </c>
      <c r="J136" s="11" t="n">
        <f aca="false">$C136*5</f>
        <v>5250</v>
      </c>
      <c r="K136" s="11" t="n">
        <f aca="false">$C136*6</f>
        <v>6300</v>
      </c>
      <c r="L136" s="11" t="n">
        <f aca="false">$C136*7</f>
        <v>7350</v>
      </c>
      <c r="M136" s="11" t="n">
        <f aca="false">$C136*8</f>
        <v>8400</v>
      </c>
      <c r="N136" s="11" t="n">
        <f aca="false">$C136*9</f>
        <v>9450</v>
      </c>
      <c r="O136" s="11" t="n">
        <f aca="false">$C136*10</f>
        <v>10500</v>
      </c>
      <c r="P136" s="11" t="n">
        <f aca="false">$C136*11</f>
        <v>11550</v>
      </c>
      <c r="Q136" s="11" t="n">
        <f aca="false">$C136*12</f>
        <v>12600</v>
      </c>
      <c r="R136" s="11" t="n">
        <f aca="false">$C136*13</f>
        <v>13650</v>
      </c>
      <c r="S136" s="11" t="n">
        <f aca="false">$C136*14</f>
        <v>14700</v>
      </c>
      <c r="T136" s="11" t="n">
        <f aca="false">$C136*15</f>
        <v>15750</v>
      </c>
      <c r="U136" s="11" t="n">
        <f aca="false">$C136*16</f>
        <v>16800</v>
      </c>
      <c r="V136" s="11" t="n">
        <f aca="false">$C136*17</f>
        <v>17850</v>
      </c>
      <c r="W136" s="11" t="n">
        <f aca="false">$C136*18</f>
        <v>18900</v>
      </c>
      <c r="X136" s="11" t="n">
        <f aca="false">$C136*19</f>
        <v>19950</v>
      </c>
      <c r="Y136" s="11" t="n">
        <f aca="false">$C136*20</f>
        <v>21000</v>
      </c>
    </row>
    <row r="137" customFormat="false" ht="15" hidden="false" customHeight="false" outlineLevel="0" collapsed="false">
      <c r="A137" s="0" t="s">
        <v>542</v>
      </c>
      <c r="B137" s="0" t="s">
        <v>543</v>
      </c>
      <c r="C137" s="11" t="n">
        <v>1781</v>
      </c>
      <c r="D137" s="0" t="s">
        <v>318</v>
      </c>
      <c r="E137" s="0" t="n">
        <v>63</v>
      </c>
      <c r="F137" s="11" t="n">
        <f aca="false">$C137*1</f>
        <v>1781</v>
      </c>
      <c r="G137" s="11" t="n">
        <f aca="false">$C137*2</f>
        <v>3562</v>
      </c>
      <c r="H137" s="11" t="n">
        <f aca="false">$C137*3</f>
        <v>5343</v>
      </c>
      <c r="I137" s="11" t="n">
        <f aca="false">$C137*4</f>
        <v>7124</v>
      </c>
      <c r="J137" s="11" t="n">
        <f aca="false">$C137*5</f>
        <v>8905</v>
      </c>
      <c r="K137" s="11" t="n">
        <f aca="false">$C137*6</f>
        <v>10686</v>
      </c>
      <c r="L137" s="11" t="n">
        <f aca="false">$C137*7</f>
        <v>12467</v>
      </c>
      <c r="M137" s="11" t="n">
        <f aca="false">$C137*8</f>
        <v>14248</v>
      </c>
      <c r="N137" s="11" t="n">
        <f aca="false">$C137*9</f>
        <v>16029</v>
      </c>
      <c r="O137" s="11" t="n">
        <f aca="false">$C137*10</f>
        <v>17810</v>
      </c>
      <c r="P137" s="11" t="n">
        <f aca="false">$C137*11</f>
        <v>19591</v>
      </c>
      <c r="Q137" s="11" t="n">
        <f aca="false">$C137*12</f>
        <v>21372</v>
      </c>
      <c r="R137" s="11" t="n">
        <f aca="false">$C137*13</f>
        <v>23153</v>
      </c>
      <c r="S137" s="11" t="n">
        <f aca="false">$C137*14</f>
        <v>24934</v>
      </c>
      <c r="T137" s="11" t="n">
        <f aca="false">$C137*15</f>
        <v>26715</v>
      </c>
      <c r="U137" s="11" t="n">
        <f aca="false">$C137*16</f>
        <v>28496</v>
      </c>
      <c r="V137" s="11" t="n">
        <f aca="false">$C137*17</f>
        <v>30277</v>
      </c>
      <c r="W137" s="11" t="n">
        <f aca="false">$C137*18</f>
        <v>32058</v>
      </c>
      <c r="X137" s="11" t="n">
        <f aca="false">$C137*19</f>
        <v>33839</v>
      </c>
      <c r="Y137" s="11" t="n">
        <f aca="false">$C137*20</f>
        <v>35620</v>
      </c>
    </row>
    <row r="138" customFormat="false" ht="15" hidden="false" customHeight="false" outlineLevel="0" collapsed="false">
      <c r="A138" s="0" t="s">
        <v>544</v>
      </c>
      <c r="B138" s="0" t="s">
        <v>545</v>
      </c>
      <c r="C138" s="11" t="n">
        <v>1272</v>
      </c>
      <c r="D138" s="0" t="s">
        <v>318</v>
      </c>
      <c r="E138" s="0" t="n">
        <v>1273</v>
      </c>
      <c r="F138" s="11" t="n">
        <f aca="false">$C138*1</f>
        <v>1272</v>
      </c>
      <c r="G138" s="11" t="n">
        <f aca="false">$C138*2</f>
        <v>2544</v>
      </c>
      <c r="H138" s="11" t="n">
        <f aca="false">$C138*3</f>
        <v>3816</v>
      </c>
      <c r="I138" s="11" t="n">
        <f aca="false">$C138*4</f>
        <v>5088</v>
      </c>
      <c r="J138" s="11" t="n">
        <f aca="false">$C138*5</f>
        <v>6360</v>
      </c>
      <c r="K138" s="11" t="n">
        <f aca="false">$C138*6</f>
        <v>7632</v>
      </c>
      <c r="L138" s="11" t="n">
        <f aca="false">$C138*7</f>
        <v>8904</v>
      </c>
      <c r="M138" s="11" t="n">
        <f aca="false">$C138*8</f>
        <v>10176</v>
      </c>
      <c r="N138" s="11" t="n">
        <f aca="false">$C138*9</f>
        <v>11448</v>
      </c>
      <c r="O138" s="11" t="n">
        <f aca="false">$C138*10</f>
        <v>12720</v>
      </c>
      <c r="P138" s="11" t="n">
        <f aca="false">$C138*11</f>
        <v>13992</v>
      </c>
      <c r="Q138" s="11" t="n">
        <f aca="false">$C138*12</f>
        <v>15264</v>
      </c>
      <c r="R138" s="11" t="n">
        <f aca="false">$C138*13</f>
        <v>16536</v>
      </c>
      <c r="S138" s="11" t="n">
        <f aca="false">$C138*14</f>
        <v>17808</v>
      </c>
      <c r="T138" s="11" t="n">
        <f aca="false">$C138*15</f>
        <v>19080</v>
      </c>
      <c r="U138" s="11" t="n">
        <f aca="false">$C138*16</f>
        <v>20352</v>
      </c>
      <c r="V138" s="11" t="n">
        <f aca="false">$C138*17</f>
        <v>21624</v>
      </c>
      <c r="W138" s="11" t="n">
        <f aca="false">$C138*18</f>
        <v>22896</v>
      </c>
      <c r="X138" s="11" t="n">
        <f aca="false">$C138*19</f>
        <v>24168</v>
      </c>
      <c r="Y138" s="11" t="n">
        <f aca="false">$C138*20</f>
        <v>25440</v>
      </c>
    </row>
    <row r="139" customFormat="false" ht="15" hidden="false" customHeight="false" outlineLevel="0" collapsed="false">
      <c r="A139" s="0" t="s">
        <v>546</v>
      </c>
      <c r="B139" s="0" t="s">
        <v>547</v>
      </c>
      <c r="C139" s="11" t="n">
        <v>1672</v>
      </c>
      <c r="D139" s="0" t="s">
        <v>318</v>
      </c>
      <c r="E139" s="0" t="n">
        <v>2372</v>
      </c>
      <c r="F139" s="11" t="n">
        <f aca="false">$C139*1</f>
        <v>1672</v>
      </c>
      <c r="G139" s="11" t="n">
        <f aca="false">$C139*2</f>
        <v>3344</v>
      </c>
      <c r="H139" s="11" t="n">
        <f aca="false">$C139*3</f>
        <v>5016</v>
      </c>
      <c r="I139" s="11" t="n">
        <f aca="false">$C139*4</f>
        <v>6688</v>
      </c>
      <c r="J139" s="11" t="n">
        <f aca="false">$C139*5</f>
        <v>8360</v>
      </c>
      <c r="K139" s="11" t="n">
        <f aca="false">$C139*6</f>
        <v>10032</v>
      </c>
      <c r="L139" s="11" t="n">
        <f aca="false">$C139*7</f>
        <v>11704</v>
      </c>
      <c r="M139" s="11" t="n">
        <f aca="false">$C139*8</f>
        <v>13376</v>
      </c>
      <c r="N139" s="11" t="n">
        <f aca="false">$C139*9</f>
        <v>15048</v>
      </c>
      <c r="O139" s="11" t="n">
        <f aca="false">$C139*10</f>
        <v>16720</v>
      </c>
      <c r="P139" s="11" t="n">
        <f aca="false">$C139*11</f>
        <v>18392</v>
      </c>
      <c r="Q139" s="11" t="n">
        <f aca="false">$C139*12</f>
        <v>20064</v>
      </c>
      <c r="R139" s="11" t="n">
        <f aca="false">$C139*13</f>
        <v>21736</v>
      </c>
      <c r="S139" s="11" t="n">
        <f aca="false">$C139*14</f>
        <v>23408</v>
      </c>
      <c r="T139" s="11" t="n">
        <f aca="false">$C139*15</f>
        <v>25080</v>
      </c>
      <c r="U139" s="11" t="n">
        <f aca="false">$C139*16</f>
        <v>26752</v>
      </c>
      <c r="V139" s="11" t="n">
        <f aca="false">$C139*17</f>
        <v>28424</v>
      </c>
      <c r="W139" s="11" t="n">
        <f aca="false">$C139*18</f>
        <v>30096</v>
      </c>
      <c r="X139" s="11" t="n">
        <f aca="false">$C139*19</f>
        <v>31768</v>
      </c>
      <c r="Y139" s="11" t="n">
        <f aca="false">$C139*20</f>
        <v>33440</v>
      </c>
    </row>
    <row r="140" customFormat="false" ht="15" hidden="false" customHeight="false" outlineLevel="0" collapsed="false">
      <c r="A140" s="0" t="s">
        <v>548</v>
      </c>
      <c r="B140" s="0" t="s">
        <v>549</v>
      </c>
      <c r="C140" s="11" t="n">
        <v>2717</v>
      </c>
      <c r="D140" s="0" t="s">
        <v>312</v>
      </c>
      <c r="E140" s="0" t="n">
        <v>4151</v>
      </c>
      <c r="F140" s="11" t="n">
        <f aca="false">$C140*1</f>
        <v>2717</v>
      </c>
      <c r="G140" s="11" t="n">
        <f aca="false">$C140*2</f>
        <v>5434</v>
      </c>
      <c r="H140" s="11" t="n">
        <f aca="false">$C140*3</f>
        <v>8151</v>
      </c>
      <c r="I140" s="11" t="n">
        <f aca="false">$C140*4</f>
        <v>10868</v>
      </c>
      <c r="J140" s="11" t="n">
        <f aca="false">$C140*5</f>
        <v>13585</v>
      </c>
      <c r="K140" s="11" t="n">
        <f aca="false">$C140*6</f>
        <v>16302</v>
      </c>
      <c r="L140" s="11" t="n">
        <f aca="false">$C140*7</f>
        <v>19019</v>
      </c>
      <c r="M140" s="11" t="n">
        <f aca="false">$C140*8</f>
        <v>21736</v>
      </c>
      <c r="N140" s="11" t="n">
        <f aca="false">$C140*9</f>
        <v>24453</v>
      </c>
      <c r="O140" s="11" t="n">
        <f aca="false">$C140*10</f>
        <v>27170</v>
      </c>
      <c r="P140" s="11" t="n">
        <f aca="false">$C140*11</f>
        <v>29887</v>
      </c>
      <c r="Q140" s="11" t="n">
        <f aca="false">$C140*12</f>
        <v>32604</v>
      </c>
      <c r="R140" s="11" t="n">
        <f aca="false">$C140*13</f>
        <v>35321</v>
      </c>
      <c r="S140" s="11" t="n">
        <f aca="false">$C140*14</f>
        <v>38038</v>
      </c>
      <c r="T140" s="11" t="n">
        <f aca="false">$C140*15</f>
        <v>40755</v>
      </c>
      <c r="U140" s="11" t="n">
        <f aca="false">$C140*16</f>
        <v>43472</v>
      </c>
      <c r="V140" s="11" t="n">
        <f aca="false">$C140*17</f>
        <v>46189</v>
      </c>
      <c r="W140" s="11" t="n">
        <f aca="false">$C140*18</f>
        <v>48906</v>
      </c>
      <c r="X140" s="11" t="n">
        <f aca="false">$C140*19</f>
        <v>51623</v>
      </c>
      <c r="Y140" s="11" t="n">
        <f aca="false">$C140*20</f>
        <v>54340</v>
      </c>
    </row>
    <row r="141" customFormat="false" ht="15" hidden="false" customHeight="false" outlineLevel="0" collapsed="false">
      <c r="A141" s="0" t="s">
        <v>550</v>
      </c>
      <c r="B141" s="0" t="s">
        <v>551</v>
      </c>
      <c r="C141" s="11" t="n">
        <v>598</v>
      </c>
      <c r="D141" s="0" t="s">
        <v>552</v>
      </c>
      <c r="E141" s="0" t="n">
        <v>1101</v>
      </c>
      <c r="F141" s="11" t="n">
        <f aca="false">$C141*1</f>
        <v>598</v>
      </c>
      <c r="G141" s="11" t="n">
        <f aca="false">$C141*2</f>
        <v>1196</v>
      </c>
      <c r="H141" s="11" t="n">
        <f aca="false">$C141*3</f>
        <v>1794</v>
      </c>
      <c r="I141" s="11" t="n">
        <f aca="false">$C141*4</f>
        <v>2392</v>
      </c>
      <c r="J141" s="11" t="n">
        <f aca="false">$C141*5</f>
        <v>2990</v>
      </c>
      <c r="K141" s="11" t="n">
        <f aca="false">$C141*6</f>
        <v>3588</v>
      </c>
      <c r="L141" s="11" t="n">
        <f aca="false">$C141*7</f>
        <v>4186</v>
      </c>
      <c r="M141" s="11" t="n">
        <f aca="false">$C141*8</f>
        <v>4784</v>
      </c>
      <c r="N141" s="11" t="n">
        <f aca="false">$C141*9</f>
        <v>5382</v>
      </c>
      <c r="O141" s="11" t="n">
        <f aca="false">$C141*10</f>
        <v>5980</v>
      </c>
      <c r="P141" s="11" t="n">
        <f aca="false">$C141*11</f>
        <v>6578</v>
      </c>
      <c r="Q141" s="11" t="n">
        <f aca="false">$C141*12</f>
        <v>7176</v>
      </c>
      <c r="R141" s="11" t="n">
        <f aca="false">$C141*13</f>
        <v>7774</v>
      </c>
      <c r="S141" s="11" t="n">
        <f aca="false">$C141*14</f>
        <v>8372</v>
      </c>
      <c r="T141" s="11" t="n">
        <f aca="false">$C141*15</f>
        <v>8970</v>
      </c>
      <c r="U141" s="11" t="n">
        <f aca="false">$C141*16</f>
        <v>9568</v>
      </c>
      <c r="V141" s="11" t="n">
        <f aca="false">$C141*17</f>
        <v>10166</v>
      </c>
      <c r="W141" s="11" t="n">
        <f aca="false">$C141*18</f>
        <v>10764</v>
      </c>
      <c r="X141" s="11" t="n">
        <f aca="false">$C141*19</f>
        <v>11362</v>
      </c>
      <c r="Y141" s="11" t="n">
        <f aca="false">$C141*20</f>
        <v>11960</v>
      </c>
    </row>
    <row r="142" customFormat="false" ht="15" hidden="false" customHeight="false" outlineLevel="0" collapsed="false">
      <c r="A142" s="0" t="s">
        <v>553</v>
      </c>
      <c r="B142" s="0" t="s">
        <v>326</v>
      </c>
      <c r="C142" s="11" t="n">
        <v>1361</v>
      </c>
      <c r="D142" s="0" t="s">
        <v>309</v>
      </c>
      <c r="E142" s="0" t="n">
        <v>1995</v>
      </c>
      <c r="F142" s="11" t="n">
        <f aca="false">$C142*1</f>
        <v>1361</v>
      </c>
      <c r="G142" s="11" t="n">
        <f aca="false">$C142*2</f>
        <v>2722</v>
      </c>
      <c r="H142" s="11" t="n">
        <f aca="false">$C142*3</f>
        <v>4083</v>
      </c>
      <c r="I142" s="11" t="n">
        <f aca="false">$C142*4</f>
        <v>5444</v>
      </c>
      <c r="J142" s="11" t="n">
        <f aca="false">$C142*5</f>
        <v>6805</v>
      </c>
      <c r="K142" s="11" t="n">
        <f aca="false">$C142*6</f>
        <v>8166</v>
      </c>
      <c r="L142" s="11" t="n">
        <f aca="false">$C142*7</f>
        <v>9527</v>
      </c>
      <c r="M142" s="11" t="n">
        <f aca="false">$C142*8</f>
        <v>10888</v>
      </c>
      <c r="N142" s="11" t="n">
        <f aca="false">$C142*9</f>
        <v>12249</v>
      </c>
      <c r="O142" s="11" t="n">
        <f aca="false">$C142*10</f>
        <v>13610</v>
      </c>
      <c r="P142" s="11" t="n">
        <f aca="false">$C142*11</f>
        <v>14971</v>
      </c>
      <c r="Q142" s="11" t="n">
        <f aca="false">$C142*12</f>
        <v>16332</v>
      </c>
      <c r="R142" s="11" t="n">
        <f aca="false">$C142*13</f>
        <v>17693</v>
      </c>
      <c r="S142" s="11" t="n">
        <f aca="false">$C142*14</f>
        <v>19054</v>
      </c>
      <c r="T142" s="11" t="n">
        <f aca="false">$C142*15</f>
        <v>20415</v>
      </c>
      <c r="U142" s="11" t="n">
        <f aca="false">$C142*16</f>
        <v>21776</v>
      </c>
      <c r="V142" s="11" t="n">
        <f aca="false">$C142*17</f>
        <v>23137</v>
      </c>
      <c r="W142" s="11" t="n">
        <f aca="false">$C142*18</f>
        <v>24498</v>
      </c>
      <c r="X142" s="11" t="n">
        <f aca="false">$C142*19</f>
        <v>25859</v>
      </c>
      <c r="Y142" s="11" t="n">
        <f aca="false">$C142*20</f>
        <v>27220</v>
      </c>
    </row>
    <row r="143" customFormat="false" ht="15" hidden="false" customHeight="false" outlineLevel="0" collapsed="false">
      <c r="A143" s="0" t="s">
        <v>554</v>
      </c>
      <c r="B143" s="0" t="s">
        <v>555</v>
      </c>
      <c r="C143" s="11" t="n">
        <v>572</v>
      </c>
      <c r="D143" s="0" t="s">
        <v>385</v>
      </c>
      <c r="E143" s="0" t="n">
        <v>1762</v>
      </c>
      <c r="F143" s="11" t="n">
        <f aca="false">$C143*1</f>
        <v>572</v>
      </c>
      <c r="G143" s="11" t="n">
        <f aca="false">$C143*2</f>
        <v>1144</v>
      </c>
      <c r="H143" s="11" t="n">
        <f aca="false">$C143*3</f>
        <v>1716</v>
      </c>
      <c r="I143" s="11" t="n">
        <f aca="false">$C143*4</f>
        <v>2288</v>
      </c>
      <c r="J143" s="11" t="n">
        <f aca="false">$C143*5</f>
        <v>2860</v>
      </c>
      <c r="K143" s="11" t="n">
        <f aca="false">$C143*6</f>
        <v>3432</v>
      </c>
      <c r="L143" s="11" t="n">
        <f aca="false">$C143*7</f>
        <v>4004</v>
      </c>
      <c r="M143" s="11" t="n">
        <f aca="false">$C143*8</f>
        <v>4576</v>
      </c>
      <c r="N143" s="11" t="n">
        <f aca="false">$C143*9</f>
        <v>5148</v>
      </c>
      <c r="O143" s="11" t="n">
        <f aca="false">$C143*10</f>
        <v>5720</v>
      </c>
      <c r="P143" s="11" t="n">
        <f aca="false">$C143*11</f>
        <v>6292</v>
      </c>
      <c r="Q143" s="11" t="n">
        <f aca="false">$C143*12</f>
        <v>6864</v>
      </c>
      <c r="R143" s="11" t="n">
        <f aca="false">$C143*13</f>
        <v>7436</v>
      </c>
      <c r="S143" s="11" t="n">
        <f aca="false">$C143*14</f>
        <v>8008</v>
      </c>
      <c r="T143" s="11" t="n">
        <f aca="false">$C143*15</f>
        <v>8580</v>
      </c>
      <c r="U143" s="11" t="n">
        <f aca="false">$C143*16</f>
        <v>9152</v>
      </c>
      <c r="V143" s="11" t="n">
        <f aca="false">$C143*17</f>
        <v>9724</v>
      </c>
      <c r="W143" s="11" t="n">
        <f aca="false">$C143*18</f>
        <v>10296</v>
      </c>
      <c r="X143" s="11" t="n">
        <f aca="false">$C143*19</f>
        <v>10868</v>
      </c>
      <c r="Y143" s="11" t="n">
        <f aca="false">$C143*20</f>
        <v>11440</v>
      </c>
    </row>
    <row r="144" customFormat="false" ht="15" hidden="false" customHeight="false" outlineLevel="0" collapsed="false">
      <c r="A144" s="0" t="s">
        <v>556</v>
      </c>
      <c r="B144" s="0" t="s">
        <v>557</v>
      </c>
      <c r="C144" s="11" t="n">
        <v>576</v>
      </c>
      <c r="D144" s="0" t="s">
        <v>491</v>
      </c>
      <c r="E144" s="0" t="n">
        <v>1434</v>
      </c>
      <c r="F144" s="11" t="n">
        <f aca="false">$C144*1</f>
        <v>576</v>
      </c>
      <c r="G144" s="11" t="n">
        <f aca="false">$C144*2</f>
        <v>1152</v>
      </c>
      <c r="H144" s="11" t="n">
        <f aca="false">$C144*3</f>
        <v>1728</v>
      </c>
      <c r="I144" s="11" t="n">
        <f aca="false">$C144*4</f>
        <v>2304</v>
      </c>
      <c r="J144" s="11" t="n">
        <f aca="false">$C144*5</f>
        <v>2880</v>
      </c>
      <c r="K144" s="11" t="n">
        <f aca="false">$C144*6</f>
        <v>3456</v>
      </c>
      <c r="L144" s="11" t="n">
        <f aca="false">$C144*7</f>
        <v>4032</v>
      </c>
      <c r="M144" s="11" t="n">
        <f aca="false">$C144*8</f>
        <v>4608</v>
      </c>
      <c r="N144" s="11" t="n">
        <f aca="false">$C144*9</f>
        <v>5184</v>
      </c>
      <c r="O144" s="11" t="n">
        <f aca="false">$C144*10</f>
        <v>5760</v>
      </c>
      <c r="P144" s="11" t="n">
        <f aca="false">$C144*11</f>
        <v>6336</v>
      </c>
      <c r="Q144" s="11" t="n">
        <f aca="false">$C144*12</f>
        <v>6912</v>
      </c>
      <c r="R144" s="11" t="n">
        <f aca="false">$C144*13</f>
        <v>7488</v>
      </c>
      <c r="S144" s="11" t="n">
        <f aca="false">$C144*14</f>
        <v>8064</v>
      </c>
      <c r="T144" s="11" t="n">
        <f aca="false">$C144*15</f>
        <v>8640</v>
      </c>
      <c r="U144" s="11" t="n">
        <f aca="false">$C144*16</f>
        <v>9216</v>
      </c>
      <c r="V144" s="11" t="n">
        <f aca="false">$C144*17</f>
        <v>9792</v>
      </c>
      <c r="W144" s="11" t="n">
        <f aca="false">$C144*18</f>
        <v>10368</v>
      </c>
      <c r="X144" s="11" t="n">
        <f aca="false">$C144*19</f>
        <v>10944</v>
      </c>
      <c r="Y144" s="11" t="n">
        <f aca="false">$C144*20</f>
        <v>11520</v>
      </c>
    </row>
    <row r="145" customFormat="false" ht="15" hidden="false" customHeight="false" outlineLevel="0" collapsed="false">
      <c r="A145" s="0" t="s">
        <v>558</v>
      </c>
      <c r="B145" s="0" t="s">
        <v>559</v>
      </c>
      <c r="C145" s="11" t="n">
        <v>677</v>
      </c>
      <c r="D145" s="0" t="s">
        <v>315</v>
      </c>
      <c r="E145" s="0" t="n">
        <v>431</v>
      </c>
      <c r="F145" s="11" t="n">
        <f aca="false">$C145*1</f>
        <v>677</v>
      </c>
      <c r="G145" s="11" t="n">
        <f aca="false">$C145*2</f>
        <v>1354</v>
      </c>
      <c r="H145" s="11" t="n">
        <f aca="false">$C145*3</f>
        <v>2031</v>
      </c>
      <c r="I145" s="11" t="n">
        <f aca="false">$C145*4</f>
        <v>2708</v>
      </c>
      <c r="J145" s="11" t="n">
        <f aca="false">$C145*5</f>
        <v>3385</v>
      </c>
      <c r="K145" s="11" t="n">
        <f aca="false">$C145*6</f>
        <v>4062</v>
      </c>
      <c r="L145" s="11" t="n">
        <f aca="false">$C145*7</f>
        <v>4739</v>
      </c>
      <c r="M145" s="11" t="n">
        <f aca="false">$C145*8</f>
        <v>5416</v>
      </c>
      <c r="N145" s="11" t="n">
        <f aca="false">$C145*9</f>
        <v>6093</v>
      </c>
      <c r="O145" s="11" t="n">
        <f aca="false">$C145*10</f>
        <v>6770</v>
      </c>
      <c r="P145" s="11" t="n">
        <f aca="false">$C145*11</f>
        <v>7447</v>
      </c>
      <c r="Q145" s="11" t="n">
        <f aca="false">$C145*12</f>
        <v>8124</v>
      </c>
      <c r="R145" s="11" t="n">
        <f aca="false">$C145*13</f>
        <v>8801</v>
      </c>
      <c r="S145" s="11" t="n">
        <f aca="false">$C145*14</f>
        <v>9478</v>
      </c>
      <c r="T145" s="11" t="n">
        <f aca="false">$C145*15</f>
        <v>10155</v>
      </c>
      <c r="U145" s="11" t="n">
        <f aca="false">$C145*16</f>
        <v>10832</v>
      </c>
      <c r="V145" s="11" t="n">
        <f aca="false">$C145*17</f>
        <v>11509</v>
      </c>
      <c r="W145" s="11" t="n">
        <f aca="false">$C145*18</f>
        <v>12186</v>
      </c>
      <c r="X145" s="11" t="n">
        <f aca="false">$C145*19</f>
        <v>12863</v>
      </c>
      <c r="Y145" s="11" t="n">
        <f aca="false">$C145*20</f>
        <v>13540</v>
      </c>
    </row>
    <row r="146" customFormat="false" ht="15" hidden="false" customHeight="false" outlineLevel="0" collapsed="false">
      <c r="A146" s="0" t="s">
        <v>560</v>
      </c>
      <c r="B146" s="0" t="s">
        <v>561</v>
      </c>
      <c r="C146" s="11" t="n">
        <v>581</v>
      </c>
      <c r="D146" s="0" t="s">
        <v>315</v>
      </c>
      <c r="E146" s="0" t="n">
        <v>165</v>
      </c>
      <c r="F146" s="11" t="n">
        <f aca="false">$C146*1</f>
        <v>581</v>
      </c>
      <c r="G146" s="11" t="n">
        <f aca="false">$C146*2</f>
        <v>1162</v>
      </c>
      <c r="H146" s="11" t="n">
        <f aca="false">$C146*3</f>
        <v>1743</v>
      </c>
      <c r="I146" s="11" t="n">
        <f aca="false">$C146*4</f>
        <v>2324</v>
      </c>
      <c r="J146" s="11" t="n">
        <f aca="false">$C146*5</f>
        <v>2905</v>
      </c>
      <c r="K146" s="11" t="n">
        <f aca="false">$C146*6</f>
        <v>3486</v>
      </c>
      <c r="L146" s="11" t="n">
        <f aca="false">$C146*7</f>
        <v>4067</v>
      </c>
      <c r="M146" s="11" t="n">
        <f aca="false">$C146*8</f>
        <v>4648</v>
      </c>
      <c r="N146" s="11" t="n">
        <f aca="false">$C146*9</f>
        <v>5229</v>
      </c>
      <c r="O146" s="11" t="n">
        <f aca="false">$C146*10</f>
        <v>5810</v>
      </c>
      <c r="P146" s="11" t="n">
        <f aca="false">$C146*11</f>
        <v>6391</v>
      </c>
      <c r="Q146" s="11" t="n">
        <f aca="false">$C146*12</f>
        <v>6972</v>
      </c>
      <c r="R146" s="11" t="n">
        <f aca="false">$C146*13</f>
        <v>7553</v>
      </c>
      <c r="S146" s="11" t="n">
        <f aca="false">$C146*14</f>
        <v>8134</v>
      </c>
      <c r="T146" s="11" t="n">
        <f aca="false">$C146*15</f>
        <v>8715</v>
      </c>
      <c r="U146" s="11" t="n">
        <f aca="false">$C146*16</f>
        <v>9296</v>
      </c>
      <c r="V146" s="11" t="n">
        <f aca="false">$C146*17</f>
        <v>9877</v>
      </c>
      <c r="W146" s="11" t="n">
        <f aca="false">$C146*18</f>
        <v>10458</v>
      </c>
      <c r="X146" s="11" t="n">
        <f aca="false">$C146*19</f>
        <v>11039</v>
      </c>
      <c r="Y146" s="11" t="n">
        <f aca="false">$C146*20</f>
        <v>11620</v>
      </c>
    </row>
    <row r="147" customFormat="false" ht="15" hidden="false" customHeight="false" outlineLevel="0" collapsed="false">
      <c r="A147" s="0" t="s">
        <v>562</v>
      </c>
      <c r="B147" s="0" t="s">
        <v>563</v>
      </c>
      <c r="C147" s="11" t="n">
        <v>1519</v>
      </c>
      <c r="D147" s="0" t="s">
        <v>318</v>
      </c>
      <c r="E147" s="0" t="n">
        <v>1004</v>
      </c>
      <c r="F147" s="11" t="n">
        <f aca="false">$C147*1</f>
        <v>1519</v>
      </c>
      <c r="G147" s="11" t="n">
        <f aca="false">$C147*2</f>
        <v>3038</v>
      </c>
      <c r="H147" s="11" t="n">
        <f aca="false">$C147*3</f>
        <v>4557</v>
      </c>
      <c r="I147" s="11" t="n">
        <f aca="false">$C147*4</f>
        <v>6076</v>
      </c>
      <c r="J147" s="11" t="n">
        <f aca="false">$C147*5</f>
        <v>7595</v>
      </c>
      <c r="K147" s="11" t="n">
        <f aca="false">$C147*6</f>
        <v>9114</v>
      </c>
      <c r="L147" s="11" t="n">
        <f aca="false">$C147*7</f>
        <v>10633</v>
      </c>
      <c r="M147" s="11" t="n">
        <f aca="false">$C147*8</f>
        <v>12152</v>
      </c>
      <c r="N147" s="11" t="n">
        <f aca="false">$C147*9</f>
        <v>13671</v>
      </c>
      <c r="O147" s="11" t="n">
        <f aca="false">$C147*10</f>
        <v>15190</v>
      </c>
      <c r="P147" s="11" t="n">
        <f aca="false">$C147*11</f>
        <v>16709</v>
      </c>
      <c r="Q147" s="11" t="n">
        <f aca="false">$C147*12</f>
        <v>18228</v>
      </c>
      <c r="R147" s="11" t="n">
        <f aca="false">$C147*13</f>
        <v>19747</v>
      </c>
      <c r="S147" s="11" t="n">
        <f aca="false">$C147*14</f>
        <v>21266</v>
      </c>
      <c r="T147" s="11" t="n">
        <f aca="false">$C147*15</f>
        <v>22785</v>
      </c>
      <c r="U147" s="11" t="n">
        <f aca="false">$C147*16</f>
        <v>24304</v>
      </c>
      <c r="V147" s="11" t="n">
        <f aca="false">$C147*17</f>
        <v>25823</v>
      </c>
      <c r="W147" s="11" t="n">
        <f aca="false">$C147*18</f>
        <v>27342</v>
      </c>
      <c r="X147" s="11" t="n">
        <f aca="false">$C147*19</f>
        <v>28861</v>
      </c>
      <c r="Y147" s="11" t="n">
        <f aca="false">$C147*20</f>
        <v>30380</v>
      </c>
    </row>
    <row r="148" customFormat="false" ht="15" hidden="false" customHeight="false" outlineLevel="0" collapsed="false">
      <c r="A148" s="0" t="s">
        <v>564</v>
      </c>
      <c r="B148" s="0" t="s">
        <v>565</v>
      </c>
      <c r="C148" s="11" t="n">
        <v>960</v>
      </c>
      <c r="D148" s="0" t="s">
        <v>312</v>
      </c>
      <c r="E148" s="0" t="n">
        <v>888</v>
      </c>
      <c r="F148" s="11" t="n">
        <f aca="false">$C148*1</f>
        <v>960</v>
      </c>
      <c r="G148" s="11" t="n">
        <f aca="false">$C148*2</f>
        <v>1920</v>
      </c>
      <c r="H148" s="11" t="n">
        <f aca="false">$C148*3</f>
        <v>2880</v>
      </c>
      <c r="I148" s="11" t="n">
        <f aca="false">$C148*4</f>
        <v>3840</v>
      </c>
      <c r="J148" s="11" t="n">
        <f aca="false">$C148*5</f>
        <v>4800</v>
      </c>
      <c r="K148" s="11" t="n">
        <f aca="false">$C148*6</f>
        <v>5760</v>
      </c>
      <c r="L148" s="11" t="n">
        <f aca="false">$C148*7</f>
        <v>6720</v>
      </c>
      <c r="M148" s="11" t="n">
        <f aca="false">$C148*8</f>
        <v>7680</v>
      </c>
      <c r="N148" s="11" t="n">
        <f aca="false">$C148*9</f>
        <v>8640</v>
      </c>
      <c r="O148" s="11" t="n">
        <f aca="false">$C148*10</f>
        <v>9600</v>
      </c>
      <c r="P148" s="11" t="n">
        <f aca="false">$C148*11</f>
        <v>10560</v>
      </c>
      <c r="Q148" s="11" t="n">
        <f aca="false">$C148*12</f>
        <v>11520</v>
      </c>
      <c r="R148" s="11" t="n">
        <f aca="false">$C148*13</f>
        <v>12480</v>
      </c>
      <c r="S148" s="11" t="n">
        <f aca="false">$C148*14</f>
        <v>13440</v>
      </c>
      <c r="T148" s="11" t="n">
        <f aca="false">$C148*15</f>
        <v>14400</v>
      </c>
      <c r="U148" s="11" t="n">
        <f aca="false">$C148*16</f>
        <v>15360</v>
      </c>
      <c r="V148" s="11" t="n">
        <f aca="false">$C148*17</f>
        <v>16320</v>
      </c>
      <c r="W148" s="11" t="n">
        <f aca="false">$C148*18</f>
        <v>17280</v>
      </c>
      <c r="X148" s="11" t="n">
        <f aca="false">$C148*19</f>
        <v>18240</v>
      </c>
      <c r="Y148" s="11" t="n">
        <f aca="false">$C148*20</f>
        <v>19200</v>
      </c>
    </row>
    <row r="149" customFormat="false" ht="15" hidden="false" customHeight="false" outlineLevel="0" collapsed="false">
      <c r="A149" s="0" t="s">
        <v>566</v>
      </c>
      <c r="B149" s="0" t="s">
        <v>567</v>
      </c>
      <c r="C149" s="11" t="n">
        <v>1066</v>
      </c>
      <c r="D149" s="0" t="s">
        <v>312</v>
      </c>
      <c r="E149" s="0" t="n">
        <v>103</v>
      </c>
      <c r="F149" s="11" t="n">
        <f aca="false">$C149*1</f>
        <v>1066</v>
      </c>
      <c r="G149" s="11" t="n">
        <f aca="false">$C149*2</f>
        <v>2132</v>
      </c>
      <c r="H149" s="11" t="n">
        <f aca="false">$C149*3</f>
        <v>3198</v>
      </c>
      <c r="I149" s="11" t="n">
        <f aca="false">$C149*4</f>
        <v>4264</v>
      </c>
      <c r="J149" s="11" t="n">
        <f aca="false">$C149*5</f>
        <v>5330</v>
      </c>
      <c r="K149" s="11" t="n">
        <f aca="false">$C149*6</f>
        <v>6396</v>
      </c>
      <c r="L149" s="11" t="n">
        <f aca="false">$C149*7</f>
        <v>7462</v>
      </c>
      <c r="M149" s="11" t="n">
        <f aca="false">$C149*8</f>
        <v>8528</v>
      </c>
      <c r="N149" s="11" t="n">
        <f aca="false">$C149*9</f>
        <v>9594</v>
      </c>
      <c r="O149" s="11" t="n">
        <f aca="false">$C149*10</f>
        <v>10660</v>
      </c>
      <c r="P149" s="11" t="n">
        <f aca="false">$C149*11</f>
        <v>11726</v>
      </c>
      <c r="Q149" s="11" t="n">
        <f aca="false">$C149*12</f>
        <v>12792</v>
      </c>
      <c r="R149" s="11" t="n">
        <f aca="false">$C149*13</f>
        <v>13858</v>
      </c>
      <c r="S149" s="11" t="n">
        <f aca="false">$C149*14</f>
        <v>14924</v>
      </c>
      <c r="T149" s="11" t="n">
        <f aca="false">$C149*15</f>
        <v>15990</v>
      </c>
      <c r="U149" s="11" t="n">
        <f aca="false">$C149*16</f>
        <v>17056</v>
      </c>
      <c r="V149" s="11" t="n">
        <f aca="false">$C149*17</f>
        <v>18122</v>
      </c>
      <c r="W149" s="11" t="n">
        <f aca="false">$C149*18</f>
        <v>19188</v>
      </c>
      <c r="X149" s="11" t="n">
        <f aca="false">$C149*19</f>
        <v>20254</v>
      </c>
      <c r="Y149" s="11" t="n">
        <f aca="false">$C149*20</f>
        <v>21320</v>
      </c>
    </row>
    <row r="150" customFormat="false" ht="15" hidden="false" customHeight="false" outlineLevel="0" collapsed="false">
      <c r="A150" s="0" t="s">
        <v>568</v>
      </c>
      <c r="B150" s="0" t="s">
        <v>569</v>
      </c>
      <c r="C150" s="11" t="n">
        <v>819</v>
      </c>
      <c r="D150" s="0" t="s">
        <v>312</v>
      </c>
      <c r="E150" s="0" t="n">
        <v>129</v>
      </c>
      <c r="F150" s="11" t="n">
        <f aca="false">$C150*1</f>
        <v>819</v>
      </c>
      <c r="G150" s="11" t="n">
        <f aca="false">$C150*2</f>
        <v>1638</v>
      </c>
      <c r="H150" s="11" t="n">
        <f aca="false">$C150*3</f>
        <v>2457</v>
      </c>
      <c r="I150" s="11" t="n">
        <f aca="false">$C150*4</f>
        <v>3276</v>
      </c>
      <c r="J150" s="11" t="n">
        <f aca="false">$C150*5</f>
        <v>4095</v>
      </c>
      <c r="K150" s="11" t="n">
        <f aca="false">$C150*6</f>
        <v>4914</v>
      </c>
      <c r="L150" s="11" t="n">
        <f aca="false">$C150*7</f>
        <v>5733</v>
      </c>
      <c r="M150" s="11" t="n">
        <f aca="false">$C150*8</f>
        <v>6552</v>
      </c>
      <c r="N150" s="11" t="n">
        <f aca="false">$C150*9</f>
        <v>7371</v>
      </c>
      <c r="O150" s="11" t="n">
        <f aca="false">$C150*10</f>
        <v>8190</v>
      </c>
      <c r="P150" s="11" t="n">
        <f aca="false">$C150*11</f>
        <v>9009</v>
      </c>
      <c r="Q150" s="11" t="n">
        <f aca="false">$C150*12</f>
        <v>9828</v>
      </c>
      <c r="R150" s="11" t="n">
        <f aca="false">$C150*13</f>
        <v>10647</v>
      </c>
      <c r="S150" s="11" t="n">
        <f aca="false">$C150*14</f>
        <v>11466</v>
      </c>
      <c r="T150" s="11" t="n">
        <f aca="false">$C150*15</f>
        <v>12285</v>
      </c>
      <c r="U150" s="11" t="n">
        <f aca="false">$C150*16</f>
        <v>13104</v>
      </c>
      <c r="V150" s="11" t="n">
        <f aca="false">$C150*17</f>
        <v>13923</v>
      </c>
      <c r="W150" s="11" t="n">
        <f aca="false">$C150*18</f>
        <v>14742</v>
      </c>
      <c r="X150" s="11" t="n">
        <f aca="false">$C150*19</f>
        <v>15561</v>
      </c>
      <c r="Y150" s="11" t="n">
        <f aca="false">$C150*20</f>
        <v>16380</v>
      </c>
    </row>
    <row r="151" customFormat="false" ht="15" hidden="false" customHeight="false" outlineLevel="0" collapsed="false">
      <c r="A151" s="0" t="s">
        <v>570</v>
      </c>
      <c r="B151" s="0" t="s">
        <v>452</v>
      </c>
      <c r="C151" s="11" t="n">
        <v>768</v>
      </c>
      <c r="D151" s="0" t="s">
        <v>312</v>
      </c>
      <c r="E151" s="0" t="n">
        <v>798</v>
      </c>
      <c r="F151" s="11" t="n">
        <f aca="false">$C151*1</f>
        <v>768</v>
      </c>
      <c r="G151" s="11" t="n">
        <f aca="false">$C151*2</f>
        <v>1536</v>
      </c>
      <c r="H151" s="11" t="n">
        <f aca="false">$C151*3</f>
        <v>2304</v>
      </c>
      <c r="I151" s="11" t="n">
        <f aca="false">$C151*4</f>
        <v>3072</v>
      </c>
      <c r="J151" s="11" t="n">
        <f aca="false">$C151*5</f>
        <v>3840</v>
      </c>
      <c r="K151" s="11" t="n">
        <f aca="false">$C151*6</f>
        <v>4608</v>
      </c>
      <c r="L151" s="11" t="n">
        <f aca="false">$C151*7</f>
        <v>5376</v>
      </c>
      <c r="M151" s="11" t="n">
        <f aca="false">$C151*8</f>
        <v>6144</v>
      </c>
      <c r="N151" s="11" t="n">
        <f aca="false">$C151*9</f>
        <v>6912</v>
      </c>
      <c r="O151" s="11" t="n">
        <f aca="false">$C151*10</f>
        <v>7680</v>
      </c>
      <c r="P151" s="11" t="n">
        <f aca="false">$C151*11</f>
        <v>8448</v>
      </c>
      <c r="Q151" s="11" t="n">
        <f aca="false">$C151*12</f>
        <v>9216</v>
      </c>
      <c r="R151" s="11" t="n">
        <f aca="false">$C151*13</f>
        <v>9984</v>
      </c>
      <c r="S151" s="11" t="n">
        <f aca="false">$C151*14</f>
        <v>10752</v>
      </c>
      <c r="T151" s="11" t="n">
        <f aca="false">$C151*15</f>
        <v>11520</v>
      </c>
      <c r="U151" s="11" t="n">
        <f aca="false">$C151*16</f>
        <v>12288</v>
      </c>
      <c r="V151" s="11" t="n">
        <f aca="false">$C151*17</f>
        <v>13056</v>
      </c>
      <c r="W151" s="11" t="n">
        <f aca="false">$C151*18</f>
        <v>13824</v>
      </c>
      <c r="X151" s="11" t="n">
        <f aca="false">$C151*19</f>
        <v>14592</v>
      </c>
      <c r="Y151" s="11" t="n">
        <f aca="false">$C151*20</f>
        <v>15360</v>
      </c>
    </row>
    <row r="152" customFormat="false" ht="15" hidden="false" customHeight="false" outlineLevel="0" collapsed="false">
      <c r="A152" s="0" t="s">
        <v>571</v>
      </c>
      <c r="B152" s="0" t="s">
        <v>380</v>
      </c>
      <c r="C152" s="11" t="n">
        <v>699</v>
      </c>
      <c r="D152" s="0" t="s">
        <v>572</v>
      </c>
      <c r="E152" s="0" t="n">
        <v>2919</v>
      </c>
      <c r="F152" s="11" t="n">
        <f aca="false">$C152*1</f>
        <v>699</v>
      </c>
      <c r="G152" s="11" t="n">
        <f aca="false">$C152*2</f>
        <v>1398</v>
      </c>
      <c r="H152" s="11" t="n">
        <f aca="false">$C152*3</f>
        <v>2097</v>
      </c>
      <c r="I152" s="11" t="n">
        <f aca="false">$C152*4</f>
        <v>2796</v>
      </c>
      <c r="J152" s="11" t="n">
        <f aca="false">$C152*5</f>
        <v>3495</v>
      </c>
      <c r="K152" s="11" t="n">
        <f aca="false">$C152*6</f>
        <v>4194</v>
      </c>
      <c r="L152" s="11" t="n">
        <f aca="false">$C152*7</f>
        <v>4893</v>
      </c>
      <c r="M152" s="11" t="n">
        <f aca="false">$C152*8</f>
        <v>5592</v>
      </c>
      <c r="N152" s="11" t="n">
        <f aca="false">$C152*9</f>
        <v>6291</v>
      </c>
      <c r="O152" s="11" t="n">
        <f aca="false">$C152*10</f>
        <v>6990</v>
      </c>
      <c r="P152" s="11" t="n">
        <f aca="false">$C152*11</f>
        <v>7689</v>
      </c>
      <c r="Q152" s="11" t="n">
        <f aca="false">$C152*12</f>
        <v>8388</v>
      </c>
      <c r="R152" s="11" t="n">
        <f aca="false">$C152*13</f>
        <v>9087</v>
      </c>
      <c r="S152" s="11" t="n">
        <f aca="false">$C152*14</f>
        <v>9786</v>
      </c>
      <c r="T152" s="11" t="n">
        <f aca="false">$C152*15</f>
        <v>10485</v>
      </c>
      <c r="U152" s="11" t="n">
        <f aca="false">$C152*16</f>
        <v>11184</v>
      </c>
      <c r="V152" s="11" t="n">
        <f aca="false">$C152*17</f>
        <v>11883</v>
      </c>
      <c r="W152" s="11" t="n">
        <f aca="false">$C152*18</f>
        <v>12582</v>
      </c>
      <c r="X152" s="11" t="n">
        <f aca="false">$C152*19</f>
        <v>13281</v>
      </c>
      <c r="Y152" s="11" t="n">
        <f aca="false">$C152*20</f>
        <v>13980</v>
      </c>
    </row>
    <row r="153" customFormat="false" ht="15" hidden="false" customHeight="false" outlineLevel="0" collapsed="false">
      <c r="A153" s="0" t="s">
        <v>573</v>
      </c>
      <c r="B153" s="0" t="s">
        <v>380</v>
      </c>
      <c r="C153" s="11" t="n">
        <v>599</v>
      </c>
      <c r="D153" s="0" t="s">
        <v>541</v>
      </c>
      <c r="E153" s="0" t="n">
        <v>943</v>
      </c>
      <c r="F153" s="11" t="n">
        <f aca="false">$C153*1</f>
        <v>599</v>
      </c>
      <c r="G153" s="11" t="n">
        <f aca="false">$C153*2</f>
        <v>1198</v>
      </c>
      <c r="H153" s="11" t="n">
        <f aca="false">$C153*3</f>
        <v>1797</v>
      </c>
      <c r="I153" s="11" t="n">
        <f aca="false">$C153*4</f>
        <v>2396</v>
      </c>
      <c r="J153" s="11" t="n">
        <f aca="false">$C153*5</f>
        <v>2995</v>
      </c>
      <c r="K153" s="11" t="n">
        <f aca="false">$C153*6</f>
        <v>3594</v>
      </c>
      <c r="L153" s="11" t="n">
        <f aca="false">$C153*7</f>
        <v>4193</v>
      </c>
      <c r="M153" s="11" t="n">
        <f aca="false">$C153*8</f>
        <v>4792</v>
      </c>
      <c r="N153" s="11" t="n">
        <f aca="false">$C153*9</f>
        <v>5391</v>
      </c>
      <c r="O153" s="11" t="n">
        <f aca="false">$C153*10</f>
        <v>5990</v>
      </c>
      <c r="P153" s="11" t="n">
        <f aca="false">$C153*11</f>
        <v>6589</v>
      </c>
      <c r="Q153" s="11" t="n">
        <f aca="false">$C153*12</f>
        <v>7188</v>
      </c>
      <c r="R153" s="11" t="n">
        <f aca="false">$C153*13</f>
        <v>7787</v>
      </c>
      <c r="S153" s="11" t="n">
        <f aca="false">$C153*14</f>
        <v>8386</v>
      </c>
      <c r="T153" s="11" t="n">
        <f aca="false">$C153*15</f>
        <v>8985</v>
      </c>
      <c r="U153" s="11" t="n">
        <f aca="false">$C153*16</f>
        <v>9584</v>
      </c>
      <c r="V153" s="11" t="n">
        <f aca="false">$C153*17</f>
        <v>10183</v>
      </c>
      <c r="W153" s="11" t="n">
        <f aca="false">$C153*18</f>
        <v>10782</v>
      </c>
      <c r="X153" s="11" t="n">
        <f aca="false">$C153*19</f>
        <v>11381</v>
      </c>
      <c r="Y153" s="11" t="n">
        <f aca="false">$C153*20</f>
        <v>11980</v>
      </c>
    </row>
    <row r="154" customFormat="false" ht="15" hidden="false" customHeight="false" outlineLevel="0" collapsed="false">
      <c r="A154" s="0" t="s">
        <v>574</v>
      </c>
      <c r="B154" s="0" t="s">
        <v>575</v>
      </c>
      <c r="C154" s="11" t="n">
        <v>576</v>
      </c>
      <c r="D154" s="0" t="s">
        <v>334</v>
      </c>
      <c r="E154" s="0" t="n">
        <v>562</v>
      </c>
      <c r="F154" s="11" t="n">
        <f aca="false">$C154*1</f>
        <v>576</v>
      </c>
      <c r="G154" s="11" t="n">
        <f aca="false">$C154*2</f>
        <v>1152</v>
      </c>
      <c r="H154" s="11" t="n">
        <f aca="false">$C154*3</f>
        <v>1728</v>
      </c>
      <c r="I154" s="11" t="n">
        <f aca="false">$C154*4</f>
        <v>2304</v>
      </c>
      <c r="J154" s="11" t="n">
        <f aca="false">$C154*5</f>
        <v>2880</v>
      </c>
      <c r="K154" s="11" t="n">
        <f aca="false">$C154*6</f>
        <v>3456</v>
      </c>
      <c r="L154" s="11" t="n">
        <f aca="false">$C154*7</f>
        <v>4032</v>
      </c>
      <c r="M154" s="11" t="n">
        <f aca="false">$C154*8</f>
        <v>4608</v>
      </c>
      <c r="N154" s="11" t="n">
        <f aca="false">$C154*9</f>
        <v>5184</v>
      </c>
      <c r="O154" s="11" t="n">
        <f aca="false">$C154*10</f>
        <v>5760</v>
      </c>
      <c r="P154" s="11" t="n">
        <f aca="false">$C154*11</f>
        <v>6336</v>
      </c>
      <c r="Q154" s="11" t="n">
        <f aca="false">$C154*12</f>
        <v>6912</v>
      </c>
      <c r="R154" s="11" t="n">
        <f aca="false">$C154*13</f>
        <v>7488</v>
      </c>
      <c r="S154" s="11" t="n">
        <f aca="false">$C154*14</f>
        <v>8064</v>
      </c>
      <c r="T154" s="11" t="n">
        <f aca="false">$C154*15</f>
        <v>8640</v>
      </c>
      <c r="U154" s="11" t="n">
        <f aca="false">$C154*16</f>
        <v>9216</v>
      </c>
      <c r="V154" s="11" t="n">
        <f aca="false">$C154*17</f>
        <v>9792</v>
      </c>
      <c r="W154" s="11" t="n">
        <f aca="false">$C154*18</f>
        <v>10368</v>
      </c>
      <c r="X154" s="11" t="n">
        <f aca="false">$C154*19</f>
        <v>10944</v>
      </c>
      <c r="Y154" s="11" t="n">
        <f aca="false">$C154*20</f>
        <v>11520</v>
      </c>
    </row>
    <row r="155" customFormat="false" ht="15" hidden="false" customHeight="false" outlineLevel="0" collapsed="false">
      <c r="A155" s="0" t="s">
        <v>576</v>
      </c>
      <c r="B155" s="0" t="s">
        <v>577</v>
      </c>
      <c r="C155" s="11" t="n">
        <v>576</v>
      </c>
      <c r="D155" s="0" t="s">
        <v>312</v>
      </c>
      <c r="E155" s="0" t="n">
        <v>709</v>
      </c>
      <c r="F155" s="11" t="n">
        <f aca="false">$C155*1</f>
        <v>576</v>
      </c>
      <c r="G155" s="11" t="n">
        <f aca="false">$C155*2</f>
        <v>1152</v>
      </c>
      <c r="H155" s="11" t="n">
        <f aca="false">$C155*3</f>
        <v>1728</v>
      </c>
      <c r="I155" s="11" t="n">
        <f aca="false">$C155*4</f>
        <v>2304</v>
      </c>
      <c r="J155" s="11" t="n">
        <f aca="false">$C155*5</f>
        <v>2880</v>
      </c>
      <c r="K155" s="11" t="n">
        <f aca="false">$C155*6</f>
        <v>3456</v>
      </c>
      <c r="L155" s="11" t="n">
        <f aca="false">$C155*7</f>
        <v>4032</v>
      </c>
      <c r="M155" s="11" t="n">
        <f aca="false">$C155*8</f>
        <v>4608</v>
      </c>
      <c r="N155" s="11" t="n">
        <f aca="false">$C155*9</f>
        <v>5184</v>
      </c>
      <c r="O155" s="11" t="n">
        <f aca="false">$C155*10</f>
        <v>5760</v>
      </c>
      <c r="P155" s="11" t="n">
        <f aca="false">$C155*11</f>
        <v>6336</v>
      </c>
      <c r="Q155" s="11" t="n">
        <f aca="false">$C155*12</f>
        <v>6912</v>
      </c>
      <c r="R155" s="11" t="n">
        <f aca="false">$C155*13</f>
        <v>7488</v>
      </c>
      <c r="S155" s="11" t="n">
        <f aca="false">$C155*14</f>
        <v>8064</v>
      </c>
      <c r="T155" s="11" t="n">
        <f aca="false">$C155*15</f>
        <v>8640</v>
      </c>
      <c r="U155" s="11" t="n">
        <f aca="false">$C155*16</f>
        <v>9216</v>
      </c>
      <c r="V155" s="11" t="n">
        <f aca="false">$C155*17</f>
        <v>9792</v>
      </c>
      <c r="W155" s="11" t="n">
        <f aca="false">$C155*18</f>
        <v>10368</v>
      </c>
      <c r="X155" s="11" t="n">
        <f aca="false">$C155*19</f>
        <v>10944</v>
      </c>
      <c r="Y155" s="11" t="n">
        <f aca="false">$C155*20</f>
        <v>11520</v>
      </c>
    </row>
    <row r="156" customFormat="false" ht="15" hidden="false" customHeight="false" outlineLevel="0" collapsed="false">
      <c r="A156" s="0" t="s">
        <v>578</v>
      </c>
      <c r="B156" s="0" t="s">
        <v>579</v>
      </c>
      <c r="C156" s="11" t="n">
        <v>549</v>
      </c>
      <c r="D156" s="0" t="s">
        <v>491</v>
      </c>
      <c r="E156" s="0" t="n">
        <v>1086</v>
      </c>
      <c r="F156" s="11" t="n">
        <f aca="false">$C156*1</f>
        <v>549</v>
      </c>
      <c r="G156" s="11" t="n">
        <f aca="false">$C156*2</f>
        <v>1098</v>
      </c>
      <c r="H156" s="11" t="n">
        <f aca="false">$C156*3</f>
        <v>1647</v>
      </c>
      <c r="I156" s="11" t="n">
        <f aca="false">$C156*4</f>
        <v>2196</v>
      </c>
      <c r="J156" s="11" t="n">
        <f aca="false">$C156*5</f>
        <v>2745</v>
      </c>
      <c r="K156" s="11" t="n">
        <f aca="false">$C156*6</f>
        <v>3294</v>
      </c>
      <c r="L156" s="11" t="n">
        <f aca="false">$C156*7</f>
        <v>3843</v>
      </c>
      <c r="M156" s="11" t="n">
        <f aca="false">$C156*8</f>
        <v>4392</v>
      </c>
      <c r="N156" s="11" t="n">
        <f aca="false">$C156*9</f>
        <v>4941</v>
      </c>
      <c r="O156" s="11" t="n">
        <f aca="false">$C156*10</f>
        <v>5490</v>
      </c>
      <c r="P156" s="11" t="n">
        <f aca="false">$C156*11</f>
        <v>6039</v>
      </c>
      <c r="Q156" s="11" t="n">
        <f aca="false">$C156*12</f>
        <v>6588</v>
      </c>
      <c r="R156" s="11" t="n">
        <f aca="false">$C156*13</f>
        <v>7137</v>
      </c>
      <c r="S156" s="11" t="n">
        <f aca="false">$C156*14</f>
        <v>7686</v>
      </c>
      <c r="T156" s="11" t="n">
        <f aca="false">$C156*15</f>
        <v>8235</v>
      </c>
      <c r="U156" s="11" t="n">
        <f aca="false">$C156*16</f>
        <v>8784</v>
      </c>
      <c r="V156" s="11" t="n">
        <f aca="false">$C156*17</f>
        <v>9333</v>
      </c>
      <c r="W156" s="11" t="n">
        <f aca="false">$C156*18</f>
        <v>9882</v>
      </c>
      <c r="X156" s="11" t="n">
        <f aca="false">$C156*19</f>
        <v>10431</v>
      </c>
      <c r="Y156" s="11" t="n">
        <f aca="false">$C156*20</f>
        <v>10980</v>
      </c>
    </row>
    <row r="157" customFormat="false" ht="15" hidden="false" customHeight="false" outlineLevel="0" collapsed="false">
      <c r="A157" s="0" t="s">
        <v>580</v>
      </c>
      <c r="B157" s="0" t="s">
        <v>581</v>
      </c>
      <c r="C157" s="11" t="n">
        <v>808</v>
      </c>
      <c r="D157" s="0" t="s">
        <v>582</v>
      </c>
      <c r="E157" s="0" t="n">
        <v>1320</v>
      </c>
      <c r="F157" s="11" t="n">
        <f aca="false">$C157*1</f>
        <v>808</v>
      </c>
      <c r="G157" s="11" t="n">
        <f aca="false">$C157*2</f>
        <v>1616</v>
      </c>
      <c r="H157" s="11" t="n">
        <f aca="false">$C157*3</f>
        <v>2424</v>
      </c>
      <c r="I157" s="11" t="n">
        <f aca="false">$C157*4</f>
        <v>3232</v>
      </c>
      <c r="J157" s="11" t="n">
        <f aca="false">$C157*5</f>
        <v>4040</v>
      </c>
      <c r="K157" s="11" t="n">
        <f aca="false">$C157*6</f>
        <v>4848</v>
      </c>
      <c r="L157" s="11" t="n">
        <f aca="false">$C157*7</f>
        <v>5656</v>
      </c>
      <c r="M157" s="11" t="n">
        <f aca="false">$C157*8</f>
        <v>6464</v>
      </c>
      <c r="N157" s="11" t="n">
        <f aca="false">$C157*9</f>
        <v>7272</v>
      </c>
      <c r="O157" s="11" t="n">
        <f aca="false">$C157*10</f>
        <v>8080</v>
      </c>
      <c r="P157" s="11" t="n">
        <f aca="false">$C157*11</f>
        <v>8888</v>
      </c>
      <c r="Q157" s="11" t="n">
        <f aca="false">$C157*12</f>
        <v>9696</v>
      </c>
      <c r="R157" s="11" t="n">
        <f aca="false">$C157*13</f>
        <v>10504</v>
      </c>
      <c r="S157" s="11" t="n">
        <f aca="false">$C157*14</f>
        <v>11312</v>
      </c>
      <c r="T157" s="11" t="n">
        <f aca="false">$C157*15</f>
        <v>12120</v>
      </c>
      <c r="U157" s="11" t="n">
        <f aca="false">$C157*16</f>
        <v>12928</v>
      </c>
      <c r="V157" s="11" t="n">
        <f aca="false">$C157*17</f>
        <v>13736</v>
      </c>
      <c r="W157" s="11" t="n">
        <f aca="false">$C157*18</f>
        <v>14544</v>
      </c>
      <c r="X157" s="11" t="n">
        <f aca="false">$C157*19</f>
        <v>15352</v>
      </c>
      <c r="Y157" s="11" t="n">
        <f aca="false">$C157*20</f>
        <v>16160</v>
      </c>
    </row>
    <row r="158" customFormat="false" ht="15" hidden="false" customHeight="false" outlineLevel="0" collapsed="false">
      <c r="A158" s="0" t="s">
        <v>583</v>
      </c>
      <c r="B158" s="0" t="s">
        <v>584</v>
      </c>
      <c r="C158" s="11" t="n">
        <v>899</v>
      </c>
      <c r="D158" s="0" t="s">
        <v>318</v>
      </c>
      <c r="E158" s="0" t="n">
        <v>2881</v>
      </c>
      <c r="F158" s="11" t="n">
        <f aca="false">$C158*1</f>
        <v>899</v>
      </c>
      <c r="G158" s="11" t="n">
        <f aca="false">$C158*2</f>
        <v>1798</v>
      </c>
      <c r="H158" s="11" t="n">
        <f aca="false">$C158*3</f>
        <v>2697</v>
      </c>
      <c r="I158" s="11" t="n">
        <f aca="false">$C158*4</f>
        <v>3596</v>
      </c>
      <c r="J158" s="11" t="n">
        <f aca="false">$C158*5</f>
        <v>4495</v>
      </c>
      <c r="K158" s="11" t="n">
        <f aca="false">$C158*6</f>
        <v>5394</v>
      </c>
      <c r="L158" s="11" t="n">
        <f aca="false">$C158*7</f>
        <v>6293</v>
      </c>
      <c r="M158" s="11" t="n">
        <f aca="false">$C158*8</f>
        <v>7192</v>
      </c>
      <c r="N158" s="11" t="n">
        <f aca="false">$C158*9</f>
        <v>8091</v>
      </c>
      <c r="O158" s="11" t="n">
        <f aca="false">$C158*10</f>
        <v>8990</v>
      </c>
      <c r="P158" s="11" t="n">
        <f aca="false">$C158*11</f>
        <v>9889</v>
      </c>
      <c r="Q158" s="11" t="n">
        <f aca="false">$C158*12</f>
        <v>10788</v>
      </c>
      <c r="R158" s="11" t="n">
        <f aca="false">$C158*13</f>
        <v>11687</v>
      </c>
      <c r="S158" s="11" t="n">
        <f aca="false">$C158*14</f>
        <v>12586</v>
      </c>
      <c r="T158" s="11" t="n">
        <f aca="false">$C158*15</f>
        <v>13485</v>
      </c>
      <c r="U158" s="11" t="n">
        <f aca="false">$C158*16</f>
        <v>14384</v>
      </c>
      <c r="V158" s="11" t="n">
        <f aca="false">$C158*17</f>
        <v>15283</v>
      </c>
      <c r="W158" s="11" t="n">
        <f aca="false">$C158*18</f>
        <v>16182</v>
      </c>
      <c r="X158" s="11" t="n">
        <f aca="false">$C158*19</f>
        <v>17081</v>
      </c>
      <c r="Y158" s="11" t="n">
        <f aca="false">$C158*20</f>
        <v>17980</v>
      </c>
    </row>
    <row r="159" customFormat="false" ht="15" hidden="false" customHeight="false" outlineLevel="0" collapsed="false">
      <c r="A159" s="0" t="s">
        <v>585</v>
      </c>
      <c r="B159" s="0" t="s">
        <v>586</v>
      </c>
      <c r="C159" s="11" t="n">
        <v>1049</v>
      </c>
      <c r="D159" s="0" t="s">
        <v>312</v>
      </c>
      <c r="E159" s="0" t="n">
        <v>140</v>
      </c>
      <c r="F159" s="11" t="n">
        <f aca="false">$C159*1</f>
        <v>1049</v>
      </c>
      <c r="G159" s="11" t="n">
        <f aca="false">$C159*2</f>
        <v>2098</v>
      </c>
      <c r="H159" s="11" t="n">
        <f aca="false">$C159*3</f>
        <v>3147</v>
      </c>
      <c r="I159" s="11" t="n">
        <f aca="false">$C159*4</f>
        <v>4196</v>
      </c>
      <c r="J159" s="11" t="n">
        <f aca="false">$C159*5</f>
        <v>5245</v>
      </c>
      <c r="K159" s="11" t="n">
        <f aca="false">$C159*6</f>
        <v>6294</v>
      </c>
      <c r="L159" s="11" t="n">
        <f aca="false">$C159*7</f>
        <v>7343</v>
      </c>
      <c r="M159" s="11" t="n">
        <f aca="false">$C159*8</f>
        <v>8392</v>
      </c>
      <c r="N159" s="11" t="n">
        <f aca="false">$C159*9</f>
        <v>9441</v>
      </c>
      <c r="O159" s="11" t="n">
        <f aca="false">$C159*10</f>
        <v>10490</v>
      </c>
      <c r="P159" s="11" t="n">
        <f aca="false">$C159*11</f>
        <v>11539</v>
      </c>
      <c r="Q159" s="11" t="n">
        <f aca="false">$C159*12</f>
        <v>12588</v>
      </c>
      <c r="R159" s="11" t="n">
        <f aca="false">$C159*13</f>
        <v>13637</v>
      </c>
      <c r="S159" s="11" t="n">
        <f aca="false">$C159*14</f>
        <v>14686</v>
      </c>
      <c r="T159" s="11" t="n">
        <f aca="false">$C159*15</f>
        <v>15735</v>
      </c>
      <c r="U159" s="11" t="n">
        <f aca="false">$C159*16</f>
        <v>16784</v>
      </c>
      <c r="V159" s="11" t="n">
        <f aca="false">$C159*17</f>
        <v>17833</v>
      </c>
      <c r="W159" s="11" t="n">
        <f aca="false">$C159*18</f>
        <v>18882</v>
      </c>
      <c r="X159" s="11" t="n">
        <f aca="false">$C159*19</f>
        <v>19931</v>
      </c>
      <c r="Y159" s="11" t="n">
        <f aca="false">$C159*20</f>
        <v>20980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2026-06-30T11:50:21Z</dcterms:created>
  <dc:creator>openpyxl</dc:creator>
  <dc:description/>
  <dc:language>en-US</dc:language>
  <cp:lastModifiedBy/>
  <dcterms:modified xsi:type="dcterms:W3CDTF">2026-06-30T12:00:09Z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