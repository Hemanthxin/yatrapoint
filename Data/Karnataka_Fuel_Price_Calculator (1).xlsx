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nataka Fuel Rates" sheetId="1" state="visible" r:id="rId3"/>
    <sheet name="Distance Fuel Calculator" sheetId="2" state="visible" r:id="rId4"/>
    <sheet name="1-1000 km Full 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<sst xmlns="http://schemas.openxmlformats.org/spreadsheetml/2006/main" count="52" uniqueCount="34">
  <si>
    <t xml:space="preserve">Karnataka Fuel Prices (Petrol &amp; Diesel)</t>
  </si>
  <si>
    <t xml:space="preserve">District-wise rates as provided (today)</t>
  </si>
  <si>
    <t xml:space="preserve">District</t>
  </si>
  <si>
    <t xml:space="preserve">Petrol (₹/litre)</t>
  </si>
  <si>
    <t xml:space="preserve">Diesel (₹/litre)</t>
  </si>
  <si>
    <t xml:space="preserve">Bengaluru</t>
  </si>
  <si>
    <t xml:space="preserve">Mysore</t>
  </si>
  <si>
    <t xml:space="preserve">Bellary</t>
  </si>
  <si>
    <t xml:space="preserve">Bidar</t>
  </si>
  <si>
    <t xml:space="preserve">Karnataka Average (used in calculators)</t>
  </si>
  <si>
    <t xml:space="preserve">Note: Calculator sheets reference the Karnataka Average above (B9/C9). To calculate for a specific district instead, edit B9/C9 or update the formulas in the other sheets.</t>
  </si>
  <si>
    <t xml:space="preserve">Km-wise Fuel Quantity &amp; Fare Calculator</t>
  </si>
  <si>
    <t xml:space="preserve">Edit 'Distance (km)' and 'Mileage (km/l)' columns — Litres Needed and Fare auto-calculate</t>
  </si>
  <si>
    <t xml:space="preserve">Distance (km)</t>
  </si>
  <si>
    <t xml:space="preserve">Fuel Type</t>
  </si>
  <si>
    <t xml:space="preserve">Mileage (km/l)</t>
  </si>
  <si>
    <t xml:space="preserve">Litres Needed</t>
  </si>
  <si>
    <t xml:space="preserve">Fare (₹)</t>
  </si>
  <si>
    <t xml:space="preserve">Petrol</t>
  </si>
  <si>
    <t xml:space="preserve">Diesel</t>
  </si>
  <si>
    <t xml:space="preserve">Custom Calculation</t>
  </si>
  <si>
    <t xml:space="preserve">Enter Distance (km):</t>
  </si>
  <si>
    <t xml:space="preserve">Select Fuel Type (Petrol/Diesel):</t>
  </si>
  <si>
    <t xml:space="preserve">Enter Mileage (km/l):</t>
  </si>
  <si>
    <t xml:space="preserve">Litres Needed:</t>
  </si>
  <si>
    <t xml:space="preserve">Fare (₹):</t>
  </si>
  <si>
    <t xml:space="preserve">Fuel Quantity &amp; Fare for Every Km (1 to 1000)</t>
  </si>
  <si>
    <t xml:space="preserve">Mileage assumptions editable in row 4 (B4, D4) — all values recalculate automatically</t>
  </si>
  <si>
    <t xml:space="preserve">Petrol Mileage (km/l):</t>
  </si>
  <si>
    <t xml:space="preserve">Diesel Mileage (km/l):</t>
  </si>
  <si>
    <t xml:space="preserve">Petrol Litres Needed</t>
  </si>
  <si>
    <t xml:space="preserve">Petrol Fare (₹)</t>
  </si>
  <si>
    <t xml:space="preserve">Diesel Litres Needed</t>
  </si>
  <si>
    <t xml:space="preserve">Diesel Fare (₹)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</si>
</sst>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0.00"/>
    <numFmt numFmtId="166" formatCode="0.00"/>
    <numFmt numFmtId="167" formatCode="\₹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1" t="s">
        <v>5</v>
      </c>
      <c r="B5" s="5" t="n">
        <v>110.93</v>
      </c>
      <c r="C5" s="6" t="n">
        <v>99.56</v>
      </c>
    </row>
    <row r="6" customFormat="false" ht="15" hidden="false" customHeight="true" outlineLevel="0" collapsed="false">
      <c r="A6" s="1" t="s">
        <v>6</v>
      </c>
      <c r="B6" s="5" t="n">
        <v>110.51</v>
      </c>
      <c r="C6" s="6" t="n">
        <v>98.39</v>
      </c>
    </row>
    <row r="7" customFormat="false" ht="15" hidden="false" customHeight="false" outlineLevel="0" collapsed="false">
      <c r="A7" s="1" t="s">
        <v>7</v>
      </c>
      <c r="B7" s="7" t="n">
        <v>112.06</v>
      </c>
      <c r="C7" s="7" t="n">
        <v>100</v>
      </c>
    </row>
    <row r="8" customFormat="false" ht="15" hidden="false" customHeight="false" outlineLevel="0" collapsed="false">
      <c r="A8" s="1" t="s">
        <v>8</v>
      </c>
      <c r="B8" s="7" t="n">
        <v>111.81</v>
      </c>
      <c r="C8" s="7" t="n">
        <v>99.11</v>
      </c>
    </row>
    <row r="9" customFormat="false" ht="15" hidden="false" customHeight="true" outlineLevel="0" collapsed="false">
      <c r="A9" s="8" t="s">
        <v>9</v>
      </c>
      <c r="B9" s="7" t="n">
        <f aca="false">AVERAGE(B5:B8)</f>
        <v>111.3275</v>
      </c>
      <c r="C9" s="7" t="n">
        <f aca="false">AVERAGE(C5:C8)</f>
        <v>99.265</v>
      </c>
    </row>
    <row r="11" customFormat="false" ht="15" hidden="false" customHeight="false" outlineLevel="0" collapsed="false">
      <c r="A11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11</v>
      </c>
    </row>
    <row r="2" customFormat="false" ht="15" hidden="false" customHeight="true" outlineLevel="0" collapsed="false">
      <c r="A2" s="3" t="s">
        <v>12</v>
      </c>
    </row>
    <row r="4" customFormat="false" ht="1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</row>
    <row r="5" customFormat="false" ht="15" hidden="false" customHeight="true" outlineLevel="0" collapsed="false">
      <c r="A5" s="1" t="n">
        <v>5</v>
      </c>
      <c r="B5" s="1" t="s">
        <v>18</v>
      </c>
      <c r="C5" s="1" t="n">
        <v>15</v>
      </c>
      <c r="D5" s="10" t="n">
        <f aca="false">A5/C5</f>
        <v>0.333333333333333</v>
      </c>
      <c r="E5" s="11" t="n">
        <f aca="false">D5*'Karnataka Fuel Rates'!$B$9</f>
        <v>37.1091666666667</v>
      </c>
    </row>
    <row r="6" customFormat="false" ht="15" hidden="false" customHeight="true" outlineLevel="0" collapsed="false">
      <c r="A6" s="1" t="n">
        <v>5</v>
      </c>
      <c r="B6" s="1" t="s">
        <v>19</v>
      </c>
      <c r="C6" s="1" t="n">
        <v>18</v>
      </c>
      <c r="D6" s="10" t="n">
        <f aca="false">A6/C6</f>
        <v>0.277777777777778</v>
      </c>
      <c r="E6" s="11" t="n">
        <f aca="false">D6*'Karnataka Fuel Rates'!$C$9</f>
        <v>27.5736111111111</v>
      </c>
    </row>
    <row r="7" customFormat="false" ht="15" hidden="false" customHeight="true" outlineLevel="0" collapsed="false">
      <c r="A7" s="1" t="n">
        <v>10</v>
      </c>
      <c r="B7" s="1" t="s">
        <v>18</v>
      </c>
      <c r="C7" s="1" t="n">
        <v>15</v>
      </c>
      <c r="D7" s="10" t="n">
        <f aca="false">A7/C7</f>
        <v>0.666666666666667</v>
      </c>
      <c r="E7" s="11" t="n">
        <f aca="false">D7*'Karnataka Fuel Rates'!$B$9</f>
        <v>74.2183333333333</v>
      </c>
    </row>
    <row r="8" customFormat="false" ht="15" hidden="false" customHeight="true" outlineLevel="0" collapsed="false">
      <c r="A8" s="1" t="n">
        <v>10</v>
      </c>
      <c r="B8" s="1" t="s">
        <v>19</v>
      </c>
      <c r="C8" s="1" t="n">
        <v>18</v>
      </c>
      <c r="D8" s="10" t="n">
        <f aca="false">A8/C8</f>
        <v>0.555555555555556</v>
      </c>
      <c r="E8" s="11" t="n">
        <f aca="false">D8*'Karnataka Fuel Rates'!$C$9</f>
        <v>55.1472222222222</v>
      </c>
    </row>
    <row r="9" customFormat="false" ht="15" hidden="false" customHeight="true" outlineLevel="0" collapsed="false">
      <c r="A9" s="1" t="n">
        <v>20</v>
      </c>
      <c r="B9" s="1" t="s">
        <v>18</v>
      </c>
      <c r="C9" s="1" t="n">
        <v>15</v>
      </c>
      <c r="D9" s="10" t="n">
        <f aca="false">A9/C9</f>
        <v>1.33333333333333</v>
      </c>
      <c r="E9" s="11" t="n">
        <f aca="false">D9*'Karnataka Fuel Rates'!$B$9</f>
        <v>148.436666666667</v>
      </c>
    </row>
    <row r="10" customFormat="false" ht="15" hidden="false" customHeight="true" outlineLevel="0" collapsed="false">
      <c r="A10" s="1" t="n">
        <v>20</v>
      </c>
      <c r="B10" s="1" t="s">
        <v>19</v>
      </c>
      <c r="C10" s="1" t="n">
        <v>18</v>
      </c>
      <c r="D10" s="10" t="n">
        <f aca="false">A10/C10</f>
        <v>1.11111111111111</v>
      </c>
      <c r="E10" s="11" t="n">
        <f aca="false">D10*'Karnataka Fuel Rates'!$C$9</f>
        <v>110.294444444444</v>
      </c>
    </row>
    <row r="11" customFormat="false" ht="15" hidden="false" customHeight="true" outlineLevel="0" collapsed="false">
      <c r="A11" s="1" t="n">
        <v>50</v>
      </c>
      <c r="B11" s="1" t="s">
        <v>18</v>
      </c>
      <c r="C11" s="1" t="n">
        <v>15</v>
      </c>
      <c r="D11" s="10" t="n">
        <f aca="false">A11/C11</f>
        <v>3.33333333333333</v>
      </c>
      <c r="E11" s="11" t="n">
        <f aca="false">D11*'Karnataka Fuel Rates'!$B$9</f>
        <v>371.091666666667</v>
      </c>
    </row>
    <row r="12" customFormat="false" ht="15" hidden="false" customHeight="true" outlineLevel="0" collapsed="false">
      <c r="A12" s="1" t="n">
        <v>50</v>
      </c>
      <c r="B12" s="1" t="s">
        <v>19</v>
      </c>
      <c r="C12" s="1" t="n">
        <v>18</v>
      </c>
      <c r="D12" s="10" t="n">
        <f aca="false">A12/C12</f>
        <v>2.77777777777778</v>
      </c>
      <c r="E12" s="11" t="n">
        <f aca="false">D12*'Karnataka Fuel Rates'!$C$9</f>
        <v>275.736111111111</v>
      </c>
    </row>
    <row r="13" customFormat="false" ht="15" hidden="false" customHeight="true" outlineLevel="0" collapsed="false">
      <c r="A13" s="1" t="n">
        <v>100</v>
      </c>
      <c r="B13" s="1" t="s">
        <v>18</v>
      </c>
      <c r="C13" s="1" t="n">
        <v>15</v>
      </c>
      <c r="D13" s="10" t="n">
        <f aca="false">A13/C13</f>
        <v>6.66666666666667</v>
      </c>
      <c r="E13" s="11" t="n">
        <f aca="false">D13*'Karnataka Fuel Rates'!$B$9</f>
        <v>742.183333333333</v>
      </c>
    </row>
    <row r="14" customFormat="false" ht="15" hidden="false" customHeight="true" outlineLevel="0" collapsed="false">
      <c r="A14" s="1" t="n">
        <v>100</v>
      </c>
      <c r="B14" s="1" t="s">
        <v>19</v>
      </c>
      <c r="C14" s="1" t="n">
        <v>18</v>
      </c>
      <c r="D14" s="10" t="n">
        <f aca="false">A14/C14</f>
        <v>5.55555555555556</v>
      </c>
      <c r="E14" s="11" t="n">
        <f aca="false">D14*'Karnataka Fuel Rates'!$C$9</f>
        <v>551.472222222222</v>
      </c>
    </row>
    <row r="15" customFormat="false" ht="15" hidden="false" customHeight="true" outlineLevel="0" collapsed="false">
      <c r="A15" s="1" t="n">
        <v>150</v>
      </c>
      <c r="B15" s="1" t="s">
        <v>18</v>
      </c>
      <c r="C15" s="1" t="n">
        <v>15</v>
      </c>
      <c r="D15" s="10" t="n">
        <f aca="false">A15/C15</f>
        <v>10</v>
      </c>
      <c r="E15" s="11" t="n">
        <f aca="false">D15*'Karnataka Fuel Rates'!$B$9</f>
        <v>1113.275</v>
      </c>
    </row>
    <row r="16" customFormat="false" ht="15" hidden="false" customHeight="true" outlineLevel="0" collapsed="false">
      <c r="A16" s="1" t="n">
        <v>150</v>
      </c>
      <c r="B16" s="1" t="s">
        <v>19</v>
      </c>
      <c r="C16" s="1" t="n">
        <v>18</v>
      </c>
      <c r="D16" s="10" t="n">
        <f aca="false">A16/C16</f>
        <v>8.33333333333333</v>
      </c>
      <c r="E16" s="11" t="n">
        <f aca="false">D16*'Karnataka Fuel Rates'!$C$9</f>
        <v>827.208333333333</v>
      </c>
    </row>
    <row r="17" customFormat="false" ht="15" hidden="false" customHeight="true" outlineLevel="0" collapsed="false">
      <c r="A17" s="1" t="n">
        <v>200</v>
      </c>
      <c r="B17" s="1" t="s">
        <v>18</v>
      </c>
      <c r="C17" s="1" t="n">
        <v>15</v>
      </c>
      <c r="D17" s="10" t="n">
        <f aca="false">A17/C17</f>
        <v>13.3333333333333</v>
      </c>
      <c r="E17" s="11" t="n">
        <f aca="false">D17*'Karnataka Fuel Rates'!$B$9</f>
        <v>1484.36666666667</v>
      </c>
    </row>
    <row r="18" customFormat="false" ht="15" hidden="false" customHeight="true" outlineLevel="0" collapsed="false">
      <c r="A18" s="1" t="n">
        <v>200</v>
      </c>
      <c r="B18" s="1" t="s">
        <v>19</v>
      </c>
      <c r="C18" s="1" t="n">
        <v>18</v>
      </c>
      <c r="D18" s="10" t="n">
        <f aca="false">A18/C18</f>
        <v>11.1111111111111</v>
      </c>
      <c r="E18" s="11" t="n">
        <f aca="false">D18*'Karnataka Fuel Rates'!$C$9</f>
        <v>1102.94444444444</v>
      </c>
    </row>
    <row r="19" customFormat="false" ht="15" hidden="false" customHeight="true" outlineLevel="0" collapsed="false">
      <c r="A19" s="1" t="n">
        <v>300</v>
      </c>
      <c r="B19" s="1" t="s">
        <v>18</v>
      </c>
      <c r="C19" s="1" t="n">
        <v>15</v>
      </c>
      <c r="D19" s="10" t="n">
        <f aca="false">A19/C19</f>
        <v>20</v>
      </c>
      <c r="E19" s="11" t="n">
        <f aca="false">D19*'Karnataka Fuel Rates'!$B$9</f>
        <v>2226.55</v>
      </c>
    </row>
    <row r="20" customFormat="false" ht="15" hidden="false" customHeight="true" outlineLevel="0" collapsed="false">
      <c r="A20" s="1" t="n">
        <v>300</v>
      </c>
      <c r="B20" s="1" t="s">
        <v>19</v>
      </c>
      <c r="C20" s="1" t="n">
        <v>18</v>
      </c>
      <c r="D20" s="10" t="n">
        <f aca="false">A20/C20</f>
        <v>16.6666666666667</v>
      </c>
      <c r="E20" s="11" t="n">
        <f aca="false">D20*'Karnataka Fuel Rates'!$C$9</f>
        <v>1654.41666666667</v>
      </c>
    </row>
    <row r="21" customFormat="false" ht="15" hidden="false" customHeight="true" outlineLevel="0" collapsed="false">
      <c r="A21" s="1" t="n">
        <v>500</v>
      </c>
      <c r="B21" s="1" t="s">
        <v>18</v>
      </c>
      <c r="C21" s="1" t="n">
        <v>15</v>
      </c>
      <c r="D21" s="10" t="n">
        <f aca="false">A21/C21</f>
        <v>33.3333333333333</v>
      </c>
      <c r="E21" s="11" t="n">
        <f aca="false">D21*'Karnataka Fuel Rates'!$B$9</f>
        <v>3710.91666666667</v>
      </c>
    </row>
    <row r="22" customFormat="false" ht="15" hidden="false" customHeight="true" outlineLevel="0" collapsed="false">
      <c r="A22" s="1" t="n">
        <v>500</v>
      </c>
      <c r="B22" s="1" t="s">
        <v>19</v>
      </c>
      <c r="C22" s="1" t="n">
        <v>18</v>
      </c>
      <c r="D22" s="10" t="n">
        <f aca="false">A22/C22</f>
        <v>27.7777777777778</v>
      </c>
      <c r="E22" s="11" t="n">
        <f aca="false">D22*'Karnataka Fuel Rates'!$C$9</f>
        <v>2757.36111111111</v>
      </c>
    </row>
    <row r="25" customFormat="false" ht="15" hidden="false" customHeight="true" outlineLevel="0" collapsed="false">
      <c r="A25" s="8" t="s">
        <v>20</v>
      </c>
    </row>
    <row r="26" customFormat="false" ht="15" hidden="false" customHeight="true" outlineLevel="0" collapsed="false">
      <c r="A26" s="8" t="s">
        <v>21</v>
      </c>
      <c r="B26" s="1" t="n">
        <v>100</v>
      </c>
    </row>
    <row r="27" customFormat="false" ht="15" hidden="false" customHeight="true" outlineLevel="0" collapsed="false">
      <c r="A27" s="8" t="s">
        <v>22</v>
      </c>
      <c r="B27" s="1" t="s">
        <v>18</v>
      </c>
    </row>
    <row r="28" customFormat="false" ht="15" hidden="false" customHeight="true" outlineLevel="0" collapsed="false">
      <c r="A28" s="8" t="s">
        <v>23</v>
      </c>
      <c r="B28" s="1" t="n">
        <v>15</v>
      </c>
    </row>
    <row r="29" customFormat="false" ht="15" hidden="false" customHeight="true" outlineLevel="0" collapsed="false">
      <c r="A29" s="8" t="s">
        <v>24</v>
      </c>
      <c r="B29" s="10" t="n">
        <f aca="false">B26/B28</f>
        <v>6.66666666666667</v>
      </c>
    </row>
    <row r="30" customFormat="false" ht="15" hidden="false" customHeight="true" outlineLevel="0" collapsed="false">
      <c r="A30" s="8" t="s">
        <v>25</v>
      </c>
      <c r="B30" s="11" t="n">
        <f aca="false">B29*IF(B27="Petrol",'Karnataka Fuel Rates'!$B$9,'Karnataka Fuel Rates'!$C$9)</f>
        <v>742.183333333333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20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3" t="s">
        <v>27</v>
      </c>
    </row>
    <row r="4" customFormat="false" ht="15" hidden="false" customHeight="true" outlineLevel="0" collapsed="false">
      <c r="A4" s="8" t="s">
        <v>28</v>
      </c>
      <c r="B4" s="1" t="n">
        <v>15</v>
      </c>
      <c r="C4" s="8" t="s">
        <v>29</v>
      </c>
      <c r="D4" s="1" t="n">
        <v>18</v>
      </c>
    </row>
    <row r="6" customFormat="false" ht="15" hidden="false" customHeight="true" outlineLevel="0" collapsed="false">
      <c r="A6" s="4" t="s">
        <v>13</v>
      </c>
      <c r="B6" s="4" t="s">
        <v>30</v>
      </c>
      <c r="C6" s="4" t="s">
        <v>31</v>
      </c>
      <c r="D6" s="4" t="s">
        <v>32</v>
      </c>
      <c r="E6" s="4" t="s">
        <v>33</v>
      </c>
    </row>
    <row r="7" customFormat="false" ht="15" hidden="false" customHeight="true" outlineLevel="0" collapsed="false">
      <c r="A7" s="1" t="n">
        <v>1</v>
      </c>
      <c r="B7" s="10" t="n">
        <f aca="false">A7/$B$4</f>
        <v>0.0666666666666667</v>
      </c>
      <c r="C7" s="11" t="n">
        <f aca="false">B7*'Karnataka Fuel Rates'!$B$9</f>
        <v>7.42183333333333</v>
      </c>
      <c r="D7" s="10" t="n">
        <f aca="false">A7/$D$4</f>
        <v>0.0555555555555556</v>
      </c>
      <c r="E7" s="11" t="n">
        <f aca="false">D7*'Karnataka Fuel Rates'!$C$9</f>
        <v>5.51472222222222</v>
      </c>
    </row>
    <row r="8" customFormat="false" ht="15" hidden="false" customHeight="true" outlineLevel="0" collapsed="false">
      <c r="A8" s="1" t="n">
        <v>2</v>
      </c>
      <c r="B8" s="10" t="n">
        <f aca="false">A8/$B$4</f>
        <v>0.133333333333333</v>
      </c>
      <c r="C8" s="11" t="n">
        <f aca="false">B8*'Karnataka Fuel Rates'!$B$9</f>
        <v>14.8436666666667</v>
      </c>
      <c r="D8" s="10" t="n">
        <f aca="false">A8/$D$4</f>
        <v>0.111111111111111</v>
      </c>
      <c r="E8" s="11" t="n">
        <f aca="false">D8*'Karnataka Fuel Rates'!$C$9</f>
        <v>11.0294444444444</v>
      </c>
    </row>
    <row r="9" customFormat="false" ht="15" hidden="false" customHeight="true" outlineLevel="0" collapsed="false">
      <c r="A9" s="1" t="n">
        <v>3</v>
      </c>
      <c r="B9" s="10" t="n">
        <f aca="false">A9/$B$4</f>
        <v>0.2</v>
      </c>
      <c r="C9" s="11" t="n">
        <f aca="false">B9*'Karnataka Fuel Rates'!$B$9</f>
        <v>22.2655</v>
      </c>
      <c r="D9" s="10" t="n">
        <f aca="false">A9/$D$4</f>
        <v>0.166666666666667</v>
      </c>
      <c r="E9" s="11" t="n">
        <f aca="false">D9*'Karnataka Fuel Rates'!$C$9</f>
        <v>16.5441666666667</v>
      </c>
    </row>
    <row r="10" customFormat="false" ht="15" hidden="false" customHeight="true" outlineLevel="0" collapsed="false">
      <c r="A10" s="1" t="n">
        <v>4</v>
      </c>
      <c r="B10" s="10" t="n">
        <f aca="false">A10/$B$4</f>
        <v>0.266666666666667</v>
      </c>
      <c r="C10" s="11" t="n">
        <f aca="false">B10*'Karnataka Fuel Rates'!$B$9</f>
        <v>29.6873333333333</v>
      </c>
      <c r="D10" s="10" t="n">
        <f aca="false">A10/$D$4</f>
        <v>0.222222222222222</v>
      </c>
      <c r="E10" s="11" t="n">
        <f aca="false">D10*'Karnataka Fuel Rates'!$C$9</f>
        <v>22.0588888888889</v>
      </c>
    </row>
    <row r="11" customFormat="false" ht="15" hidden="false" customHeight="true" outlineLevel="0" collapsed="false">
      <c r="A11" s="1" t="n">
        <v>5</v>
      </c>
      <c r="B11" s="10" t="n">
        <f aca="false">A11/$B$4</f>
        <v>0.333333333333333</v>
      </c>
      <c r="C11" s="11" t="n">
        <f aca="false">B11*'Karnataka Fuel Rates'!$B$9</f>
        <v>37.1091666666667</v>
      </c>
      <c r="D11" s="10" t="n">
        <f aca="false">A11/$D$4</f>
        <v>0.277777777777778</v>
      </c>
      <c r="E11" s="11" t="n">
        <f aca="false">D11*'Karnataka Fuel Rates'!$C$9</f>
        <v>27.5736111111111</v>
      </c>
    </row>
    <row r="12" customFormat="false" ht="15" hidden="false" customHeight="true" outlineLevel="0" collapsed="false">
      <c r="A12" s="1" t="n">
        <v>6</v>
      </c>
      <c r="B12" s="10" t="n">
        <f aca="false">A12/$B$4</f>
        <v>0.4</v>
      </c>
      <c r="C12" s="11" t="n">
        <f aca="false">B12*'Karnataka Fuel Rates'!$B$9</f>
        <v>44.531</v>
      </c>
      <c r="D12" s="10" t="n">
        <f aca="false">A12/$D$4</f>
        <v>0.333333333333333</v>
      </c>
      <c r="E12" s="11" t="n">
        <f aca="false">D12*'Karnataka Fuel Rates'!$C$9</f>
        <v>33.0883333333333</v>
      </c>
    </row>
    <row r="13" customFormat="false" ht="15" hidden="false" customHeight="true" outlineLevel="0" collapsed="false">
      <c r="A13" s="1" t="n">
        <v>7</v>
      </c>
      <c r="B13" s="10" t="n">
        <f aca="false">A13/$B$4</f>
        <v>0.466666666666667</v>
      </c>
      <c r="C13" s="11" t="n">
        <f aca="false">B13*'Karnataka Fuel Rates'!$B$9</f>
        <v>51.9528333333333</v>
      </c>
      <c r="D13" s="10" t="n">
        <f aca="false">A13/$D$4</f>
        <v>0.388888888888889</v>
      </c>
      <c r="E13" s="11" t="n">
        <f aca="false">D13*'Karnataka Fuel Rates'!$C$9</f>
        <v>38.6030555555556</v>
      </c>
    </row>
    <row r="14" customFormat="false" ht="15" hidden="false" customHeight="true" outlineLevel="0" collapsed="false">
      <c r="A14" s="1" t="n">
        <v>8</v>
      </c>
      <c r="B14" s="10" t="n">
        <f aca="false">A14/$B$4</f>
        <v>0.533333333333333</v>
      </c>
      <c r="C14" s="11" t="n">
        <f aca="false">B14*'Karnataka Fuel Rates'!$B$9</f>
        <v>59.3746666666667</v>
      </c>
      <c r="D14" s="10" t="n">
        <f aca="false">A14/$D$4</f>
        <v>0.444444444444444</v>
      </c>
      <c r="E14" s="11" t="n">
        <f aca="false">D14*'Karnataka Fuel Rates'!$C$9</f>
        <v>44.1177777777778</v>
      </c>
    </row>
    <row r="15" customFormat="false" ht="15" hidden="false" customHeight="true" outlineLevel="0" collapsed="false">
      <c r="A15" s="1" t="n">
        <v>9</v>
      </c>
      <c r="B15" s="10" t="n">
        <f aca="false">A15/$B$4</f>
        <v>0.6</v>
      </c>
      <c r="C15" s="11" t="n">
        <f aca="false">B15*'Karnataka Fuel Rates'!$B$9</f>
        <v>66.7965</v>
      </c>
      <c r="D15" s="10" t="n">
        <f aca="false">A15/$D$4</f>
        <v>0.5</v>
      </c>
      <c r="E15" s="11" t="n">
        <f aca="false">D15*'Karnataka Fuel Rates'!$C$9</f>
        <v>49.6325</v>
      </c>
    </row>
    <row r="16" customFormat="false" ht="15" hidden="false" customHeight="true" outlineLevel="0" collapsed="false">
      <c r="A16" s="1" t="n">
        <v>10</v>
      </c>
      <c r="B16" s="10" t="n">
        <f aca="false">A16/$B$4</f>
        <v>0.666666666666667</v>
      </c>
      <c r="C16" s="11" t="n">
        <f aca="false">B16*'Karnataka Fuel Rates'!$B$9</f>
        <v>74.2183333333333</v>
      </c>
      <c r="D16" s="10" t="n">
        <f aca="false">A16/$D$4</f>
        <v>0.555555555555556</v>
      </c>
      <c r="E16" s="11" t="n">
        <f aca="false">D16*'Karnataka Fuel Rates'!$C$9</f>
        <v>55.1472222222222</v>
      </c>
    </row>
    <row r="17" customFormat="false" ht="15" hidden="false" customHeight="true" outlineLevel="0" collapsed="false">
      <c r="A17" s="1" t="n">
        <v>11</v>
      </c>
      <c r="B17" s="10" t="n">
        <f aca="false">A17/$B$4</f>
        <v>0.733333333333333</v>
      </c>
      <c r="C17" s="11" t="n">
        <f aca="false">B17*'Karnataka Fuel Rates'!$B$9</f>
        <v>81.6401666666667</v>
      </c>
      <c r="D17" s="10" t="n">
        <f aca="false">A17/$D$4</f>
        <v>0.611111111111111</v>
      </c>
      <c r="E17" s="11" t="n">
        <f aca="false">D17*'Karnataka Fuel Rates'!$C$9</f>
        <v>60.6619444444445</v>
      </c>
    </row>
    <row r="18" customFormat="false" ht="15" hidden="false" customHeight="true" outlineLevel="0" collapsed="false">
      <c r="A18" s="1" t="n">
        <v>12</v>
      </c>
      <c r="B18" s="10" t="n">
        <f aca="false">A18/$B$4</f>
        <v>0.8</v>
      </c>
      <c r="C18" s="11" t="n">
        <f aca="false">B18*'Karnataka Fuel Rates'!$B$9</f>
        <v>89.062</v>
      </c>
      <c r="D18" s="10" t="n">
        <f aca="false">A18/$D$4</f>
        <v>0.666666666666667</v>
      </c>
      <c r="E18" s="11" t="n">
        <f aca="false">D18*'Karnataka Fuel Rates'!$C$9</f>
        <v>66.1766666666667</v>
      </c>
    </row>
    <row r="19" customFormat="false" ht="15" hidden="false" customHeight="true" outlineLevel="0" collapsed="false">
      <c r="A19" s="1" t="n">
        <v>13</v>
      </c>
      <c r="B19" s="10" t="n">
        <f aca="false">A19/$B$4</f>
        <v>0.866666666666667</v>
      </c>
      <c r="C19" s="11" t="n">
        <f aca="false">B19*'Karnataka Fuel Rates'!$B$9</f>
        <v>96.4838333333333</v>
      </c>
      <c r="D19" s="10" t="n">
        <f aca="false">A19/$D$4</f>
        <v>0.722222222222222</v>
      </c>
      <c r="E19" s="11" t="n">
        <f aca="false">D19*'Karnataka Fuel Rates'!$C$9</f>
        <v>71.6913888888889</v>
      </c>
    </row>
    <row r="20" customFormat="false" ht="15" hidden="false" customHeight="true" outlineLevel="0" collapsed="false">
      <c r="A20" s="1" t="n">
        <v>14</v>
      </c>
      <c r="B20" s="10" t="n">
        <f aca="false">A20/$B$4</f>
        <v>0.933333333333333</v>
      </c>
      <c r="C20" s="11" t="n">
        <f aca="false">B20*'Karnataka Fuel Rates'!$B$9</f>
        <v>103.905666666667</v>
      </c>
      <c r="D20" s="10" t="n">
        <f aca="false">A20/$D$4</f>
        <v>0.777777777777778</v>
      </c>
      <c r="E20" s="11" t="n">
        <f aca="false">D20*'Karnataka Fuel Rates'!$C$9</f>
        <v>77.2061111111111</v>
      </c>
    </row>
    <row r="21" customFormat="false" ht="15" hidden="false" customHeight="true" outlineLevel="0" collapsed="false">
      <c r="A21" s="1" t="n">
        <v>15</v>
      </c>
      <c r="B21" s="10" t="n">
        <f aca="false">A21/$B$4</f>
        <v>1</v>
      </c>
      <c r="C21" s="11" t="n">
        <f aca="false">B21*'Karnataka Fuel Rates'!$B$9</f>
        <v>111.3275</v>
      </c>
      <c r="D21" s="10" t="n">
        <f aca="false">A21/$D$4</f>
        <v>0.833333333333333</v>
      </c>
      <c r="E21" s="11" t="n">
        <f aca="false">D21*'Karnataka Fuel Rates'!$C$9</f>
        <v>82.7208333333333</v>
      </c>
    </row>
    <row r="22" customFormat="false" ht="15" hidden="false" customHeight="true" outlineLevel="0" collapsed="false">
      <c r="A22" s="1" t="n">
        <v>16</v>
      </c>
      <c r="B22" s="10" t="n">
        <f aca="false">A22/$B$4</f>
        <v>1.06666666666667</v>
      </c>
      <c r="C22" s="11" t="n">
        <f aca="false">B22*'Karnataka Fuel Rates'!$B$9</f>
        <v>118.749333333333</v>
      </c>
      <c r="D22" s="10" t="n">
        <f aca="false">A22/$D$4</f>
        <v>0.888888888888889</v>
      </c>
      <c r="E22" s="11" t="n">
        <f aca="false">D22*'Karnataka Fuel Rates'!$C$9</f>
        <v>88.2355555555556</v>
      </c>
    </row>
    <row r="23" customFormat="false" ht="15" hidden="false" customHeight="true" outlineLevel="0" collapsed="false">
      <c r="A23" s="1" t="n">
        <v>17</v>
      </c>
      <c r="B23" s="10" t="n">
        <f aca="false">A23/$B$4</f>
        <v>1.13333333333333</v>
      </c>
      <c r="C23" s="11" t="n">
        <f aca="false">B23*'Karnataka Fuel Rates'!$B$9</f>
        <v>126.171166666667</v>
      </c>
      <c r="D23" s="10" t="n">
        <f aca="false">A23/$D$4</f>
        <v>0.944444444444444</v>
      </c>
      <c r="E23" s="11" t="n">
        <f aca="false">D23*'Karnataka Fuel Rates'!$C$9</f>
        <v>93.7502777777778</v>
      </c>
    </row>
    <row r="24" customFormat="false" ht="15" hidden="false" customHeight="true" outlineLevel="0" collapsed="false">
      <c r="A24" s="1" t="n">
        <v>18</v>
      </c>
      <c r="B24" s="10" t="n">
        <f aca="false">A24/$B$4</f>
        <v>1.2</v>
      </c>
      <c r="C24" s="11" t="n">
        <f aca="false">B24*'Karnataka Fuel Rates'!$B$9</f>
        <v>133.593</v>
      </c>
      <c r="D24" s="10" t="n">
        <f aca="false">A24/$D$4</f>
        <v>1</v>
      </c>
      <c r="E24" s="11" t="n">
        <f aca="false">D24*'Karnataka Fuel Rates'!$C$9</f>
        <v>99.265</v>
      </c>
    </row>
    <row r="25" customFormat="false" ht="15" hidden="false" customHeight="true" outlineLevel="0" collapsed="false">
      <c r="A25" s="1" t="n">
        <v>19</v>
      </c>
      <c r="B25" s="10" t="n">
        <f aca="false">A25/$B$4</f>
        <v>1.26666666666667</v>
      </c>
      <c r="C25" s="11" t="n">
        <f aca="false">B25*'Karnataka Fuel Rates'!$B$9</f>
        <v>141.014833333333</v>
      </c>
      <c r="D25" s="10" t="n">
        <f aca="false">A25/$D$4</f>
        <v>1.05555555555556</v>
      </c>
      <c r="E25" s="11" t="n">
        <f aca="false">D25*'Karnataka Fuel Rates'!$C$9</f>
        <v>104.779722222222</v>
      </c>
    </row>
    <row r="26" customFormat="false" ht="15" hidden="false" customHeight="true" outlineLevel="0" collapsed="false">
      <c r="A26" s="1" t="n">
        <v>20</v>
      </c>
      <c r="B26" s="10" t="n">
        <f aca="false">A26/$B$4</f>
        <v>1.33333333333333</v>
      </c>
      <c r="C26" s="11" t="n">
        <f aca="false">B26*'Karnataka Fuel Rates'!$B$9</f>
        <v>148.436666666667</v>
      </c>
      <c r="D26" s="10" t="n">
        <f aca="false">A26/$D$4</f>
        <v>1.11111111111111</v>
      </c>
      <c r="E26" s="11" t="n">
        <f aca="false">D26*'Karnataka Fuel Rates'!$C$9</f>
        <v>110.294444444444</v>
      </c>
    </row>
    <row r="27" customFormat="false" ht="15" hidden="false" customHeight="true" outlineLevel="0" collapsed="false">
      <c r="A27" s="1" t="n">
        <v>21</v>
      </c>
      <c r="B27" s="10" t="n">
        <f aca="false">A27/$B$4</f>
        <v>1.4</v>
      </c>
      <c r="C27" s="11" t="n">
        <f aca="false">B27*'Karnataka Fuel Rates'!$B$9</f>
        <v>155.8585</v>
      </c>
      <c r="D27" s="10" t="n">
        <f aca="false">A27/$D$4</f>
        <v>1.16666666666667</v>
      </c>
      <c r="E27" s="11" t="n">
        <f aca="false">D27*'Karnataka Fuel Rates'!$C$9</f>
        <v>115.809166666667</v>
      </c>
    </row>
    <row r="28" customFormat="false" ht="15" hidden="false" customHeight="true" outlineLevel="0" collapsed="false">
      <c r="A28" s="1" t="n">
        <v>22</v>
      </c>
      <c r="B28" s="10" t="n">
        <f aca="false">A28/$B$4</f>
        <v>1.46666666666667</v>
      </c>
      <c r="C28" s="11" t="n">
        <f aca="false">B28*'Karnataka Fuel Rates'!$B$9</f>
        <v>163.280333333333</v>
      </c>
      <c r="D28" s="10" t="n">
        <f aca="false">A28/$D$4</f>
        <v>1.22222222222222</v>
      </c>
      <c r="E28" s="11" t="n">
        <f aca="false">D28*'Karnataka Fuel Rates'!$C$9</f>
        <v>121.323888888889</v>
      </c>
    </row>
    <row r="29" customFormat="false" ht="15" hidden="false" customHeight="true" outlineLevel="0" collapsed="false">
      <c r="A29" s="1" t="n">
        <v>23</v>
      </c>
      <c r="B29" s="10" t="n">
        <f aca="false">A29/$B$4</f>
        <v>1.53333333333333</v>
      </c>
      <c r="C29" s="11" t="n">
        <f aca="false">B29*'Karnataka Fuel Rates'!$B$9</f>
        <v>170.702166666667</v>
      </c>
      <c r="D29" s="10" t="n">
        <f aca="false">A29/$D$4</f>
        <v>1.27777777777778</v>
      </c>
      <c r="E29" s="11" t="n">
        <f aca="false">D29*'Karnataka Fuel Rates'!$C$9</f>
        <v>126.838611111111</v>
      </c>
    </row>
    <row r="30" customFormat="false" ht="15" hidden="false" customHeight="true" outlineLevel="0" collapsed="false">
      <c r="A30" s="1" t="n">
        <v>24</v>
      </c>
      <c r="B30" s="10" t="n">
        <f aca="false">A30/$B$4</f>
        <v>1.6</v>
      </c>
      <c r="C30" s="11" t="n">
        <f aca="false">B30*'Karnataka Fuel Rates'!$B$9</f>
        <v>178.124</v>
      </c>
      <c r="D30" s="10" t="n">
        <f aca="false">A30/$D$4</f>
        <v>1.33333333333333</v>
      </c>
      <c r="E30" s="11" t="n">
        <f aca="false">D30*'Karnataka Fuel Rates'!$C$9</f>
        <v>132.353333333333</v>
      </c>
    </row>
    <row r="31" customFormat="false" ht="15" hidden="false" customHeight="true" outlineLevel="0" collapsed="false">
      <c r="A31" s="1" t="n">
        <v>25</v>
      </c>
      <c r="B31" s="10" t="n">
        <f aca="false">A31/$B$4</f>
        <v>1.66666666666667</v>
      </c>
      <c r="C31" s="11" t="n">
        <f aca="false">B31*'Karnataka Fuel Rates'!$B$9</f>
        <v>185.545833333333</v>
      </c>
      <c r="D31" s="10" t="n">
        <f aca="false">A31/$D$4</f>
        <v>1.38888888888889</v>
      </c>
      <c r="E31" s="11" t="n">
        <f aca="false">D31*'Karnataka Fuel Rates'!$C$9</f>
        <v>137.868055555556</v>
      </c>
    </row>
    <row r="32" customFormat="false" ht="15" hidden="false" customHeight="true" outlineLevel="0" collapsed="false">
      <c r="A32" s="1" t="n">
        <v>26</v>
      </c>
      <c r="B32" s="10" t="n">
        <f aca="false">A32/$B$4</f>
        <v>1.73333333333333</v>
      </c>
      <c r="C32" s="11" t="n">
        <f aca="false">B32*'Karnataka Fuel Rates'!$B$9</f>
        <v>192.967666666667</v>
      </c>
      <c r="D32" s="10" t="n">
        <f aca="false">A32/$D$4</f>
        <v>1.44444444444444</v>
      </c>
      <c r="E32" s="11" t="n">
        <f aca="false">D32*'Karnataka Fuel Rates'!$C$9</f>
        <v>143.382777777778</v>
      </c>
    </row>
    <row r="33" customFormat="false" ht="15" hidden="false" customHeight="true" outlineLevel="0" collapsed="false">
      <c r="A33" s="1" t="n">
        <v>27</v>
      </c>
      <c r="B33" s="10" t="n">
        <f aca="false">A33/$B$4</f>
        <v>1.8</v>
      </c>
      <c r="C33" s="11" t="n">
        <f aca="false">B33*'Karnataka Fuel Rates'!$B$9</f>
        <v>200.3895</v>
      </c>
      <c r="D33" s="10" t="n">
        <f aca="false">A33/$D$4</f>
        <v>1.5</v>
      </c>
      <c r="E33" s="11" t="n">
        <f aca="false">D33*'Karnataka Fuel Rates'!$C$9</f>
        <v>148.8975</v>
      </c>
    </row>
    <row r="34" customFormat="false" ht="15" hidden="false" customHeight="true" outlineLevel="0" collapsed="false">
      <c r="A34" s="1" t="n">
        <v>28</v>
      </c>
      <c r="B34" s="10" t="n">
        <f aca="false">A34/$B$4</f>
        <v>1.86666666666667</v>
      </c>
      <c r="C34" s="11" t="n">
        <f aca="false">B34*'Karnataka Fuel Rates'!$B$9</f>
        <v>207.811333333333</v>
      </c>
      <c r="D34" s="10" t="n">
        <f aca="false">A34/$D$4</f>
        <v>1.55555555555556</v>
      </c>
      <c r="E34" s="11" t="n">
        <f aca="false">D34*'Karnataka Fuel Rates'!$C$9</f>
        <v>154.412222222222</v>
      </c>
    </row>
    <row r="35" customFormat="false" ht="15" hidden="false" customHeight="true" outlineLevel="0" collapsed="false">
      <c r="A35" s="1" t="n">
        <v>29</v>
      </c>
      <c r="B35" s="10" t="n">
        <f aca="false">A35/$B$4</f>
        <v>1.93333333333333</v>
      </c>
      <c r="C35" s="11" t="n">
        <f aca="false">B35*'Karnataka Fuel Rates'!$B$9</f>
        <v>215.233166666667</v>
      </c>
      <c r="D35" s="10" t="n">
        <f aca="false">A35/$D$4</f>
        <v>1.61111111111111</v>
      </c>
      <c r="E35" s="11" t="n">
        <f aca="false">D35*'Karnataka Fuel Rates'!$C$9</f>
        <v>159.926944444444</v>
      </c>
    </row>
    <row r="36" customFormat="false" ht="15" hidden="false" customHeight="true" outlineLevel="0" collapsed="false">
      <c r="A36" s="1" t="n">
        <v>30</v>
      </c>
      <c r="B36" s="10" t="n">
        <f aca="false">A36/$B$4</f>
        <v>2</v>
      </c>
      <c r="C36" s="11" t="n">
        <f aca="false">B36*'Karnataka Fuel Rates'!$B$9</f>
        <v>222.655</v>
      </c>
      <c r="D36" s="10" t="n">
        <f aca="false">A36/$D$4</f>
        <v>1.66666666666667</v>
      </c>
      <c r="E36" s="11" t="n">
        <f aca="false">D36*'Karnataka Fuel Rates'!$C$9</f>
        <v>165.441666666667</v>
      </c>
    </row>
    <row r="37" customFormat="false" ht="15" hidden="false" customHeight="true" outlineLevel="0" collapsed="false">
      <c r="A37" s="1" t="n">
        <v>31</v>
      </c>
      <c r="B37" s="10" t="n">
        <f aca="false">A37/$B$4</f>
        <v>2.06666666666667</v>
      </c>
      <c r="C37" s="11" t="n">
        <f aca="false">B37*'Karnataka Fuel Rates'!$B$9</f>
        <v>230.076833333333</v>
      </c>
      <c r="D37" s="10" t="n">
        <f aca="false">A37/$D$4</f>
        <v>1.72222222222222</v>
      </c>
      <c r="E37" s="11" t="n">
        <f aca="false">D37*'Karnataka Fuel Rates'!$C$9</f>
        <v>170.956388888889</v>
      </c>
    </row>
    <row r="38" customFormat="false" ht="15" hidden="false" customHeight="true" outlineLevel="0" collapsed="false">
      <c r="A38" s="1" t="n">
        <v>32</v>
      </c>
      <c r="B38" s="10" t="n">
        <f aca="false">A38/$B$4</f>
        <v>2.13333333333333</v>
      </c>
      <c r="C38" s="11" t="n">
        <f aca="false">B38*'Karnataka Fuel Rates'!$B$9</f>
        <v>237.498666666667</v>
      </c>
      <c r="D38" s="10" t="n">
        <f aca="false">A38/$D$4</f>
        <v>1.77777777777778</v>
      </c>
      <c r="E38" s="11" t="n">
        <f aca="false">D38*'Karnataka Fuel Rates'!$C$9</f>
        <v>176.471111111111</v>
      </c>
    </row>
    <row r="39" customFormat="false" ht="15" hidden="false" customHeight="true" outlineLevel="0" collapsed="false">
      <c r="A39" s="1" t="n">
        <v>33</v>
      </c>
      <c r="B39" s="10" t="n">
        <f aca="false">A39/$B$4</f>
        <v>2.2</v>
      </c>
      <c r="C39" s="11" t="n">
        <f aca="false">B39*'Karnataka Fuel Rates'!$B$9</f>
        <v>244.9205</v>
      </c>
      <c r="D39" s="10" t="n">
        <f aca="false">A39/$D$4</f>
        <v>1.83333333333333</v>
      </c>
      <c r="E39" s="11" t="n">
        <f aca="false">D39*'Karnataka Fuel Rates'!$C$9</f>
        <v>181.985833333333</v>
      </c>
    </row>
    <row r="40" customFormat="false" ht="15" hidden="false" customHeight="true" outlineLevel="0" collapsed="false">
      <c r="A40" s="1" t="n">
        <v>34</v>
      </c>
      <c r="B40" s="10" t="n">
        <f aca="false">A40/$B$4</f>
        <v>2.26666666666667</v>
      </c>
      <c r="C40" s="11" t="n">
        <f aca="false">B40*'Karnataka Fuel Rates'!$B$9</f>
        <v>252.342333333333</v>
      </c>
      <c r="D40" s="10" t="n">
        <f aca="false">A40/$D$4</f>
        <v>1.88888888888889</v>
      </c>
      <c r="E40" s="11" t="n">
        <f aca="false">D40*'Karnataka Fuel Rates'!$C$9</f>
        <v>187.500555555556</v>
      </c>
    </row>
    <row r="41" customFormat="false" ht="15" hidden="false" customHeight="true" outlineLevel="0" collapsed="false">
      <c r="A41" s="1" t="n">
        <v>35</v>
      </c>
      <c r="B41" s="10" t="n">
        <f aca="false">A41/$B$4</f>
        <v>2.33333333333333</v>
      </c>
      <c r="C41" s="11" t="n">
        <f aca="false">B41*'Karnataka Fuel Rates'!$B$9</f>
        <v>259.764166666667</v>
      </c>
      <c r="D41" s="10" t="n">
        <f aca="false">A41/$D$4</f>
        <v>1.94444444444444</v>
      </c>
      <c r="E41" s="11" t="n">
        <f aca="false">D41*'Karnataka Fuel Rates'!$C$9</f>
        <v>193.015277777778</v>
      </c>
    </row>
    <row r="42" customFormat="false" ht="15" hidden="false" customHeight="true" outlineLevel="0" collapsed="false">
      <c r="A42" s="1" t="n">
        <v>36</v>
      </c>
      <c r="B42" s="10" t="n">
        <f aca="false">A42/$B$4</f>
        <v>2.4</v>
      </c>
      <c r="C42" s="11" t="n">
        <f aca="false">B42*'Karnataka Fuel Rates'!$B$9</f>
        <v>267.186</v>
      </c>
      <c r="D42" s="10" t="n">
        <f aca="false">A42/$D$4</f>
        <v>2</v>
      </c>
      <c r="E42" s="11" t="n">
        <f aca="false">D42*'Karnataka Fuel Rates'!$C$9</f>
        <v>198.53</v>
      </c>
    </row>
    <row r="43" customFormat="false" ht="15" hidden="false" customHeight="true" outlineLevel="0" collapsed="false">
      <c r="A43" s="1" t="n">
        <v>37</v>
      </c>
      <c r="B43" s="10" t="n">
        <f aca="false">A43/$B$4</f>
        <v>2.46666666666667</v>
      </c>
      <c r="C43" s="11" t="n">
        <f aca="false">B43*'Karnataka Fuel Rates'!$B$9</f>
        <v>274.607833333333</v>
      </c>
      <c r="D43" s="10" t="n">
        <f aca="false">A43/$D$4</f>
        <v>2.05555555555556</v>
      </c>
      <c r="E43" s="11" t="n">
        <f aca="false">D43*'Karnataka Fuel Rates'!$C$9</f>
        <v>204.044722222222</v>
      </c>
    </row>
    <row r="44" customFormat="false" ht="15" hidden="false" customHeight="true" outlineLevel="0" collapsed="false">
      <c r="A44" s="1" t="n">
        <v>38</v>
      </c>
      <c r="B44" s="10" t="n">
        <f aca="false">A44/$B$4</f>
        <v>2.53333333333333</v>
      </c>
      <c r="C44" s="11" t="n">
        <f aca="false">B44*'Karnataka Fuel Rates'!$B$9</f>
        <v>282.029666666667</v>
      </c>
      <c r="D44" s="10" t="n">
        <f aca="false">A44/$D$4</f>
        <v>2.11111111111111</v>
      </c>
      <c r="E44" s="11" t="n">
        <f aca="false">D44*'Karnataka Fuel Rates'!$C$9</f>
        <v>209.559444444444</v>
      </c>
    </row>
    <row r="45" customFormat="false" ht="15" hidden="false" customHeight="true" outlineLevel="0" collapsed="false">
      <c r="A45" s="1" t="n">
        <v>39</v>
      </c>
      <c r="B45" s="10" t="n">
        <f aca="false">A45/$B$4</f>
        <v>2.6</v>
      </c>
      <c r="C45" s="11" t="n">
        <f aca="false">B45*'Karnataka Fuel Rates'!$B$9</f>
        <v>289.4515</v>
      </c>
      <c r="D45" s="10" t="n">
        <f aca="false">A45/$D$4</f>
        <v>2.16666666666667</v>
      </c>
      <c r="E45" s="11" t="n">
        <f aca="false">D45*'Karnataka Fuel Rates'!$C$9</f>
        <v>215.074166666667</v>
      </c>
    </row>
    <row r="46" customFormat="false" ht="15" hidden="false" customHeight="true" outlineLevel="0" collapsed="false">
      <c r="A46" s="1" t="n">
        <v>40</v>
      </c>
      <c r="B46" s="10" t="n">
        <f aca="false">A46/$B$4</f>
        <v>2.66666666666667</v>
      </c>
      <c r="C46" s="11" t="n">
        <f aca="false">B46*'Karnataka Fuel Rates'!$B$9</f>
        <v>296.873333333333</v>
      </c>
      <c r="D46" s="10" t="n">
        <f aca="false">A46/$D$4</f>
        <v>2.22222222222222</v>
      </c>
      <c r="E46" s="11" t="n">
        <f aca="false">D46*'Karnataka Fuel Rates'!$C$9</f>
        <v>220.588888888889</v>
      </c>
    </row>
    <row r="47" customFormat="false" ht="15" hidden="false" customHeight="true" outlineLevel="0" collapsed="false">
      <c r="A47" s="1" t="n">
        <v>41</v>
      </c>
      <c r="B47" s="10" t="n">
        <f aca="false">A47/$B$4</f>
        <v>2.73333333333333</v>
      </c>
      <c r="C47" s="11" t="n">
        <f aca="false">B47*'Karnataka Fuel Rates'!$B$9</f>
        <v>304.295166666667</v>
      </c>
      <c r="D47" s="10" t="n">
        <f aca="false">A47/$D$4</f>
        <v>2.27777777777778</v>
      </c>
      <c r="E47" s="11" t="n">
        <f aca="false">D47*'Karnataka Fuel Rates'!$C$9</f>
        <v>226.103611111111</v>
      </c>
    </row>
    <row r="48" customFormat="false" ht="15" hidden="false" customHeight="true" outlineLevel="0" collapsed="false">
      <c r="A48" s="1" t="n">
        <v>42</v>
      </c>
      <c r="B48" s="10" t="n">
        <f aca="false">A48/$B$4</f>
        <v>2.8</v>
      </c>
      <c r="C48" s="11" t="n">
        <f aca="false">B48*'Karnataka Fuel Rates'!$B$9</f>
        <v>311.717</v>
      </c>
      <c r="D48" s="10" t="n">
        <f aca="false">A48/$D$4</f>
        <v>2.33333333333333</v>
      </c>
      <c r="E48" s="11" t="n">
        <f aca="false">D48*'Karnataka Fuel Rates'!$C$9</f>
        <v>231.618333333333</v>
      </c>
    </row>
    <row r="49" customFormat="false" ht="15" hidden="false" customHeight="true" outlineLevel="0" collapsed="false">
      <c r="A49" s="1" t="n">
        <v>43</v>
      </c>
      <c r="B49" s="10" t="n">
        <f aca="false">A49/$B$4</f>
        <v>2.86666666666667</v>
      </c>
      <c r="C49" s="11" t="n">
        <f aca="false">B49*'Karnataka Fuel Rates'!$B$9</f>
        <v>319.138833333333</v>
      </c>
      <c r="D49" s="10" t="n">
        <f aca="false">A49/$D$4</f>
        <v>2.38888888888889</v>
      </c>
      <c r="E49" s="11" t="n">
        <f aca="false">D49*'Karnataka Fuel Rates'!$C$9</f>
        <v>237.133055555556</v>
      </c>
    </row>
    <row r="50" customFormat="false" ht="15" hidden="false" customHeight="true" outlineLevel="0" collapsed="false">
      <c r="A50" s="1" t="n">
        <v>44</v>
      </c>
      <c r="B50" s="10" t="n">
        <f aca="false">A50/$B$4</f>
        <v>2.93333333333333</v>
      </c>
      <c r="C50" s="11" t="n">
        <f aca="false">B50*'Karnataka Fuel Rates'!$B$9</f>
        <v>326.560666666667</v>
      </c>
      <c r="D50" s="10" t="n">
        <f aca="false">A50/$D$4</f>
        <v>2.44444444444444</v>
      </c>
      <c r="E50" s="11" t="n">
        <f aca="false">D50*'Karnataka Fuel Rates'!$C$9</f>
        <v>242.647777777778</v>
      </c>
    </row>
    <row r="51" customFormat="false" ht="15" hidden="false" customHeight="true" outlineLevel="0" collapsed="false">
      <c r="A51" s="1" t="n">
        <v>45</v>
      </c>
      <c r="B51" s="10" t="n">
        <f aca="false">A51/$B$4</f>
        <v>3</v>
      </c>
      <c r="C51" s="11" t="n">
        <f aca="false">B51*'Karnataka Fuel Rates'!$B$9</f>
        <v>333.9825</v>
      </c>
      <c r="D51" s="10" t="n">
        <f aca="false">A51/$D$4</f>
        <v>2.5</v>
      </c>
      <c r="E51" s="11" t="n">
        <f aca="false">D51*'Karnataka Fuel Rates'!$C$9</f>
        <v>248.1625</v>
      </c>
    </row>
    <row r="52" customFormat="false" ht="15" hidden="false" customHeight="true" outlineLevel="0" collapsed="false">
      <c r="A52" s="1" t="n">
        <v>46</v>
      </c>
      <c r="B52" s="10" t="n">
        <f aca="false">A52/$B$4</f>
        <v>3.06666666666667</v>
      </c>
      <c r="C52" s="11" t="n">
        <f aca="false">B52*'Karnataka Fuel Rates'!$B$9</f>
        <v>341.404333333333</v>
      </c>
      <c r="D52" s="10" t="n">
        <f aca="false">A52/$D$4</f>
        <v>2.55555555555556</v>
      </c>
      <c r="E52" s="11" t="n">
        <f aca="false">D52*'Karnataka Fuel Rates'!$C$9</f>
        <v>253.677222222222</v>
      </c>
    </row>
    <row r="53" customFormat="false" ht="15" hidden="false" customHeight="true" outlineLevel="0" collapsed="false">
      <c r="A53" s="1" t="n">
        <v>47</v>
      </c>
      <c r="B53" s="10" t="n">
        <f aca="false">A53/$B$4</f>
        <v>3.13333333333333</v>
      </c>
      <c r="C53" s="11" t="n">
        <f aca="false">B53*'Karnataka Fuel Rates'!$B$9</f>
        <v>348.826166666667</v>
      </c>
      <c r="D53" s="10" t="n">
        <f aca="false">A53/$D$4</f>
        <v>2.61111111111111</v>
      </c>
      <c r="E53" s="11" t="n">
        <f aca="false">D53*'Karnataka Fuel Rates'!$C$9</f>
        <v>259.191944444444</v>
      </c>
    </row>
    <row r="54" customFormat="false" ht="15" hidden="false" customHeight="true" outlineLevel="0" collapsed="false">
      <c r="A54" s="1" t="n">
        <v>48</v>
      </c>
      <c r="B54" s="10" t="n">
        <f aca="false">A54/$B$4</f>
        <v>3.2</v>
      </c>
      <c r="C54" s="11" t="n">
        <f aca="false">B54*'Karnataka Fuel Rates'!$B$9</f>
        <v>356.248</v>
      </c>
      <c r="D54" s="10" t="n">
        <f aca="false">A54/$D$4</f>
        <v>2.66666666666667</v>
      </c>
      <c r="E54" s="11" t="n">
        <f aca="false">D54*'Karnataka Fuel Rates'!$C$9</f>
        <v>264.706666666667</v>
      </c>
    </row>
    <row r="55" customFormat="false" ht="15" hidden="false" customHeight="true" outlineLevel="0" collapsed="false">
      <c r="A55" s="1" t="n">
        <v>49</v>
      </c>
      <c r="B55" s="10" t="n">
        <f aca="false">A55/$B$4</f>
        <v>3.26666666666667</v>
      </c>
      <c r="C55" s="11" t="n">
        <f aca="false">B55*'Karnataka Fuel Rates'!$B$9</f>
        <v>363.669833333333</v>
      </c>
      <c r="D55" s="10" t="n">
        <f aca="false">A55/$D$4</f>
        <v>2.72222222222222</v>
      </c>
      <c r="E55" s="11" t="n">
        <f aca="false">D55*'Karnataka Fuel Rates'!$C$9</f>
        <v>270.221388888889</v>
      </c>
    </row>
    <row r="56" customFormat="false" ht="15" hidden="false" customHeight="true" outlineLevel="0" collapsed="false">
      <c r="A56" s="1" t="n">
        <v>50</v>
      </c>
      <c r="B56" s="10" t="n">
        <f aca="false">A56/$B$4</f>
        <v>3.33333333333333</v>
      </c>
      <c r="C56" s="11" t="n">
        <f aca="false">B56*'Karnataka Fuel Rates'!$B$9</f>
        <v>371.091666666667</v>
      </c>
      <c r="D56" s="10" t="n">
        <f aca="false">A56/$D$4</f>
        <v>2.77777777777778</v>
      </c>
      <c r="E56" s="11" t="n">
        <f aca="false">D56*'Karnataka Fuel Rates'!$C$9</f>
        <v>275.736111111111</v>
      </c>
    </row>
    <row r="57" customFormat="false" ht="15" hidden="false" customHeight="true" outlineLevel="0" collapsed="false">
      <c r="A57" s="1" t="n">
        <v>51</v>
      </c>
      <c r="B57" s="10" t="n">
        <f aca="false">A57/$B$4</f>
        <v>3.4</v>
      </c>
      <c r="C57" s="11" t="n">
        <f aca="false">B57*'Karnataka Fuel Rates'!$B$9</f>
        <v>378.5135</v>
      </c>
      <c r="D57" s="10" t="n">
        <f aca="false">A57/$D$4</f>
        <v>2.83333333333333</v>
      </c>
      <c r="E57" s="11" t="n">
        <f aca="false">D57*'Karnataka Fuel Rates'!$C$9</f>
        <v>281.250833333333</v>
      </c>
    </row>
    <row r="58" customFormat="false" ht="15" hidden="false" customHeight="true" outlineLevel="0" collapsed="false">
      <c r="A58" s="1" t="n">
        <v>52</v>
      </c>
      <c r="B58" s="10" t="n">
        <f aca="false">A58/$B$4</f>
        <v>3.46666666666667</v>
      </c>
      <c r="C58" s="11" t="n">
        <f aca="false">B58*'Karnataka Fuel Rates'!$B$9</f>
        <v>385.935333333333</v>
      </c>
      <c r="D58" s="10" t="n">
        <f aca="false">A58/$D$4</f>
        <v>2.88888888888889</v>
      </c>
      <c r="E58" s="11" t="n">
        <f aca="false">D58*'Karnataka Fuel Rates'!$C$9</f>
        <v>286.765555555556</v>
      </c>
    </row>
    <row r="59" customFormat="false" ht="15" hidden="false" customHeight="true" outlineLevel="0" collapsed="false">
      <c r="A59" s="1" t="n">
        <v>53</v>
      </c>
      <c r="B59" s="10" t="n">
        <f aca="false">A59/$B$4</f>
        <v>3.53333333333333</v>
      </c>
      <c r="C59" s="11" t="n">
        <f aca="false">B59*'Karnataka Fuel Rates'!$B$9</f>
        <v>393.357166666667</v>
      </c>
      <c r="D59" s="10" t="n">
        <f aca="false">A59/$D$4</f>
        <v>2.94444444444444</v>
      </c>
      <c r="E59" s="11" t="n">
        <f aca="false">D59*'Karnataka Fuel Rates'!$C$9</f>
        <v>292.280277777778</v>
      </c>
    </row>
    <row r="60" customFormat="false" ht="15" hidden="false" customHeight="true" outlineLevel="0" collapsed="false">
      <c r="A60" s="1" t="n">
        <v>54</v>
      </c>
      <c r="B60" s="10" t="n">
        <f aca="false">A60/$B$4</f>
        <v>3.6</v>
      </c>
      <c r="C60" s="11" t="n">
        <f aca="false">B60*'Karnataka Fuel Rates'!$B$9</f>
        <v>400.779</v>
      </c>
      <c r="D60" s="10" t="n">
        <f aca="false">A60/$D$4</f>
        <v>3</v>
      </c>
      <c r="E60" s="11" t="n">
        <f aca="false">D60*'Karnataka Fuel Rates'!$C$9</f>
        <v>297.795</v>
      </c>
    </row>
    <row r="61" customFormat="false" ht="15" hidden="false" customHeight="true" outlineLevel="0" collapsed="false">
      <c r="A61" s="1" t="n">
        <v>55</v>
      </c>
      <c r="B61" s="10" t="n">
        <f aca="false">A61/$B$4</f>
        <v>3.66666666666667</v>
      </c>
      <c r="C61" s="11" t="n">
        <f aca="false">B61*'Karnataka Fuel Rates'!$B$9</f>
        <v>408.200833333333</v>
      </c>
      <c r="D61" s="10" t="n">
        <f aca="false">A61/$D$4</f>
        <v>3.05555555555556</v>
      </c>
      <c r="E61" s="11" t="n">
        <f aca="false">D61*'Karnataka Fuel Rates'!$C$9</f>
        <v>303.309722222222</v>
      </c>
    </row>
    <row r="62" customFormat="false" ht="15" hidden="false" customHeight="true" outlineLevel="0" collapsed="false">
      <c r="A62" s="1" t="n">
        <v>56</v>
      </c>
      <c r="B62" s="10" t="n">
        <f aca="false">A62/$B$4</f>
        <v>3.73333333333333</v>
      </c>
      <c r="C62" s="11" t="n">
        <f aca="false">B62*'Karnataka Fuel Rates'!$B$9</f>
        <v>415.622666666667</v>
      </c>
      <c r="D62" s="10" t="n">
        <f aca="false">A62/$D$4</f>
        <v>3.11111111111111</v>
      </c>
      <c r="E62" s="11" t="n">
        <f aca="false">D62*'Karnataka Fuel Rates'!$C$9</f>
        <v>308.824444444444</v>
      </c>
    </row>
    <row r="63" customFormat="false" ht="15" hidden="false" customHeight="true" outlineLevel="0" collapsed="false">
      <c r="A63" s="1" t="n">
        <v>57</v>
      </c>
      <c r="B63" s="10" t="n">
        <f aca="false">A63/$B$4</f>
        <v>3.8</v>
      </c>
      <c r="C63" s="11" t="n">
        <f aca="false">B63*'Karnataka Fuel Rates'!$B$9</f>
        <v>423.0445</v>
      </c>
      <c r="D63" s="10" t="n">
        <f aca="false">A63/$D$4</f>
        <v>3.16666666666667</v>
      </c>
      <c r="E63" s="11" t="n">
        <f aca="false">D63*'Karnataka Fuel Rates'!$C$9</f>
        <v>314.339166666667</v>
      </c>
    </row>
    <row r="64" customFormat="false" ht="15" hidden="false" customHeight="true" outlineLevel="0" collapsed="false">
      <c r="A64" s="1" t="n">
        <v>58</v>
      </c>
      <c r="B64" s="10" t="n">
        <f aca="false">A64/$B$4</f>
        <v>3.86666666666667</v>
      </c>
      <c r="C64" s="11" t="n">
        <f aca="false">B64*'Karnataka Fuel Rates'!$B$9</f>
        <v>430.466333333333</v>
      </c>
      <c r="D64" s="10" t="n">
        <f aca="false">A64/$D$4</f>
        <v>3.22222222222222</v>
      </c>
      <c r="E64" s="11" t="n">
        <f aca="false">D64*'Karnataka Fuel Rates'!$C$9</f>
        <v>319.853888888889</v>
      </c>
    </row>
    <row r="65" customFormat="false" ht="15" hidden="false" customHeight="true" outlineLevel="0" collapsed="false">
      <c r="A65" s="1" t="n">
        <v>59</v>
      </c>
      <c r="B65" s="10" t="n">
        <f aca="false">A65/$B$4</f>
        <v>3.93333333333333</v>
      </c>
      <c r="C65" s="11" t="n">
        <f aca="false">B65*'Karnataka Fuel Rates'!$B$9</f>
        <v>437.888166666667</v>
      </c>
      <c r="D65" s="10" t="n">
        <f aca="false">A65/$D$4</f>
        <v>3.27777777777778</v>
      </c>
      <c r="E65" s="11" t="n">
        <f aca="false">D65*'Karnataka Fuel Rates'!$C$9</f>
        <v>325.368611111111</v>
      </c>
    </row>
    <row r="66" customFormat="false" ht="15" hidden="false" customHeight="true" outlineLevel="0" collapsed="false">
      <c r="A66" s="1" t="n">
        <v>60</v>
      </c>
      <c r="B66" s="10" t="n">
        <f aca="false">A66/$B$4</f>
        <v>4</v>
      </c>
      <c r="C66" s="11" t="n">
        <f aca="false">B66*'Karnataka Fuel Rates'!$B$9</f>
        <v>445.31</v>
      </c>
      <c r="D66" s="10" t="n">
        <f aca="false">A66/$D$4</f>
        <v>3.33333333333333</v>
      </c>
      <c r="E66" s="11" t="n">
        <f aca="false">D66*'Karnataka Fuel Rates'!$C$9</f>
        <v>330.883333333333</v>
      </c>
    </row>
    <row r="67" customFormat="false" ht="15" hidden="false" customHeight="true" outlineLevel="0" collapsed="false">
      <c r="A67" s="1" t="n">
        <v>61</v>
      </c>
      <c r="B67" s="10" t="n">
        <f aca="false">A67/$B$4</f>
        <v>4.06666666666667</v>
      </c>
      <c r="C67" s="11" t="n">
        <f aca="false">B67*'Karnataka Fuel Rates'!$B$9</f>
        <v>452.731833333333</v>
      </c>
      <c r="D67" s="10" t="n">
        <f aca="false">A67/$D$4</f>
        <v>3.38888888888889</v>
      </c>
      <c r="E67" s="11" t="n">
        <f aca="false">D67*'Karnataka Fuel Rates'!$C$9</f>
        <v>336.398055555556</v>
      </c>
    </row>
    <row r="68" customFormat="false" ht="15" hidden="false" customHeight="true" outlineLevel="0" collapsed="false">
      <c r="A68" s="1" t="n">
        <v>62</v>
      </c>
      <c r="B68" s="10" t="n">
        <f aca="false">A68/$B$4</f>
        <v>4.13333333333333</v>
      </c>
      <c r="C68" s="11" t="n">
        <f aca="false">B68*'Karnataka Fuel Rates'!$B$9</f>
        <v>460.153666666667</v>
      </c>
      <c r="D68" s="10" t="n">
        <f aca="false">A68/$D$4</f>
        <v>3.44444444444444</v>
      </c>
      <c r="E68" s="11" t="n">
        <f aca="false">D68*'Karnataka Fuel Rates'!$C$9</f>
        <v>341.912777777778</v>
      </c>
    </row>
    <row r="69" customFormat="false" ht="15" hidden="false" customHeight="true" outlineLevel="0" collapsed="false">
      <c r="A69" s="1" t="n">
        <v>63</v>
      </c>
      <c r="B69" s="10" t="n">
        <f aca="false">A69/$B$4</f>
        <v>4.2</v>
      </c>
      <c r="C69" s="11" t="n">
        <f aca="false">B69*'Karnataka Fuel Rates'!$B$9</f>
        <v>467.5755</v>
      </c>
      <c r="D69" s="10" t="n">
        <f aca="false">A69/$D$4</f>
        <v>3.5</v>
      </c>
      <c r="E69" s="11" t="n">
        <f aca="false">D69*'Karnataka Fuel Rates'!$C$9</f>
        <v>347.4275</v>
      </c>
    </row>
    <row r="70" customFormat="false" ht="15" hidden="false" customHeight="true" outlineLevel="0" collapsed="false">
      <c r="A70" s="1" t="n">
        <v>64</v>
      </c>
      <c r="B70" s="10" t="n">
        <f aca="false">A70/$B$4</f>
        <v>4.26666666666667</v>
      </c>
      <c r="C70" s="11" t="n">
        <f aca="false">B70*'Karnataka Fuel Rates'!$B$9</f>
        <v>474.997333333333</v>
      </c>
      <c r="D70" s="10" t="n">
        <f aca="false">A70/$D$4</f>
        <v>3.55555555555556</v>
      </c>
      <c r="E70" s="11" t="n">
        <f aca="false">D70*'Karnataka Fuel Rates'!$C$9</f>
        <v>352.942222222222</v>
      </c>
    </row>
    <row r="71" customFormat="false" ht="15" hidden="false" customHeight="true" outlineLevel="0" collapsed="false">
      <c r="A71" s="1" t="n">
        <v>65</v>
      </c>
      <c r="B71" s="10" t="n">
        <f aca="false">A71/$B$4</f>
        <v>4.33333333333333</v>
      </c>
      <c r="C71" s="11" t="n">
        <f aca="false">B71*'Karnataka Fuel Rates'!$B$9</f>
        <v>482.419166666667</v>
      </c>
      <c r="D71" s="10" t="n">
        <f aca="false">A71/$D$4</f>
        <v>3.61111111111111</v>
      </c>
      <c r="E71" s="11" t="n">
        <f aca="false">D71*'Karnataka Fuel Rates'!$C$9</f>
        <v>358.456944444444</v>
      </c>
    </row>
    <row r="72" customFormat="false" ht="15" hidden="false" customHeight="true" outlineLevel="0" collapsed="false">
      <c r="A72" s="1" t="n">
        <v>66</v>
      </c>
      <c r="B72" s="10" t="n">
        <f aca="false">A72/$B$4</f>
        <v>4.4</v>
      </c>
      <c r="C72" s="11" t="n">
        <f aca="false">B72*'Karnataka Fuel Rates'!$B$9</f>
        <v>489.841</v>
      </c>
      <c r="D72" s="10" t="n">
        <f aca="false">A72/$D$4</f>
        <v>3.66666666666667</v>
      </c>
      <c r="E72" s="11" t="n">
        <f aca="false">D72*'Karnataka Fuel Rates'!$C$9</f>
        <v>363.971666666667</v>
      </c>
    </row>
    <row r="73" customFormat="false" ht="15" hidden="false" customHeight="true" outlineLevel="0" collapsed="false">
      <c r="A73" s="1" t="n">
        <v>67</v>
      </c>
      <c r="B73" s="10" t="n">
        <f aca="false">A73/$B$4</f>
        <v>4.46666666666667</v>
      </c>
      <c r="C73" s="11" t="n">
        <f aca="false">B73*'Karnataka Fuel Rates'!$B$9</f>
        <v>497.262833333333</v>
      </c>
      <c r="D73" s="10" t="n">
        <f aca="false">A73/$D$4</f>
        <v>3.72222222222222</v>
      </c>
      <c r="E73" s="11" t="n">
        <f aca="false">D73*'Karnataka Fuel Rates'!$C$9</f>
        <v>369.486388888889</v>
      </c>
    </row>
    <row r="74" customFormat="false" ht="15" hidden="false" customHeight="true" outlineLevel="0" collapsed="false">
      <c r="A74" s="1" t="n">
        <v>68</v>
      </c>
      <c r="B74" s="10" t="n">
        <f aca="false">A74/$B$4</f>
        <v>4.53333333333333</v>
      </c>
      <c r="C74" s="11" t="n">
        <f aca="false">B74*'Karnataka Fuel Rates'!$B$9</f>
        <v>504.684666666667</v>
      </c>
      <c r="D74" s="10" t="n">
        <f aca="false">A74/$D$4</f>
        <v>3.77777777777778</v>
      </c>
      <c r="E74" s="11" t="n">
        <f aca="false">D74*'Karnataka Fuel Rates'!$C$9</f>
        <v>375.001111111111</v>
      </c>
    </row>
    <row r="75" customFormat="false" ht="15" hidden="false" customHeight="true" outlineLevel="0" collapsed="false">
      <c r="A75" s="1" t="n">
        <v>69</v>
      </c>
      <c r="B75" s="10" t="n">
        <f aca="false">A75/$B$4</f>
        <v>4.6</v>
      </c>
      <c r="C75" s="11" t="n">
        <f aca="false">B75*'Karnataka Fuel Rates'!$B$9</f>
        <v>512.1065</v>
      </c>
      <c r="D75" s="10" t="n">
        <f aca="false">A75/$D$4</f>
        <v>3.83333333333333</v>
      </c>
      <c r="E75" s="11" t="n">
        <f aca="false">D75*'Karnataka Fuel Rates'!$C$9</f>
        <v>380.515833333333</v>
      </c>
    </row>
    <row r="76" customFormat="false" ht="15" hidden="false" customHeight="true" outlineLevel="0" collapsed="false">
      <c r="A76" s="1" t="n">
        <v>70</v>
      </c>
      <c r="B76" s="10" t="n">
        <f aca="false">A76/$B$4</f>
        <v>4.66666666666667</v>
      </c>
      <c r="C76" s="11" t="n">
        <f aca="false">B76*'Karnataka Fuel Rates'!$B$9</f>
        <v>519.528333333333</v>
      </c>
      <c r="D76" s="10" t="n">
        <f aca="false">A76/$D$4</f>
        <v>3.88888888888889</v>
      </c>
      <c r="E76" s="11" t="n">
        <f aca="false">D76*'Karnataka Fuel Rates'!$C$9</f>
        <v>386.030555555556</v>
      </c>
    </row>
    <row r="77" customFormat="false" ht="15" hidden="false" customHeight="true" outlineLevel="0" collapsed="false">
      <c r="A77" s="1" t="n">
        <v>71</v>
      </c>
      <c r="B77" s="10" t="n">
        <f aca="false">A77/$B$4</f>
        <v>4.73333333333333</v>
      </c>
      <c r="C77" s="11" t="n">
        <f aca="false">B77*'Karnataka Fuel Rates'!$B$9</f>
        <v>526.950166666667</v>
      </c>
      <c r="D77" s="10" t="n">
        <f aca="false">A77/$D$4</f>
        <v>3.94444444444444</v>
      </c>
      <c r="E77" s="11" t="n">
        <f aca="false">D77*'Karnataka Fuel Rates'!$C$9</f>
        <v>391.545277777778</v>
      </c>
    </row>
    <row r="78" customFormat="false" ht="15" hidden="false" customHeight="true" outlineLevel="0" collapsed="false">
      <c r="A78" s="1" t="n">
        <v>72</v>
      </c>
      <c r="B78" s="10" t="n">
        <f aca="false">A78/$B$4</f>
        <v>4.8</v>
      </c>
      <c r="C78" s="11" t="n">
        <f aca="false">B78*'Karnataka Fuel Rates'!$B$9</f>
        <v>534.372</v>
      </c>
      <c r="D78" s="10" t="n">
        <f aca="false">A78/$D$4</f>
        <v>4</v>
      </c>
      <c r="E78" s="11" t="n">
        <f aca="false">D78*'Karnataka Fuel Rates'!$C$9</f>
        <v>397.06</v>
      </c>
    </row>
    <row r="79" customFormat="false" ht="15" hidden="false" customHeight="true" outlineLevel="0" collapsed="false">
      <c r="A79" s="1" t="n">
        <v>73</v>
      </c>
      <c r="B79" s="10" t="n">
        <f aca="false">A79/$B$4</f>
        <v>4.86666666666667</v>
      </c>
      <c r="C79" s="11" t="n">
        <f aca="false">B79*'Karnataka Fuel Rates'!$B$9</f>
        <v>541.793833333333</v>
      </c>
      <c r="D79" s="10" t="n">
        <f aca="false">A79/$D$4</f>
        <v>4.05555555555556</v>
      </c>
      <c r="E79" s="11" t="n">
        <f aca="false">D79*'Karnataka Fuel Rates'!$C$9</f>
        <v>402.574722222222</v>
      </c>
    </row>
    <row r="80" customFormat="false" ht="15" hidden="false" customHeight="true" outlineLevel="0" collapsed="false">
      <c r="A80" s="1" t="n">
        <v>74</v>
      </c>
      <c r="B80" s="10" t="n">
        <f aca="false">A80/$B$4</f>
        <v>4.93333333333333</v>
      </c>
      <c r="C80" s="11" t="n">
        <f aca="false">B80*'Karnataka Fuel Rates'!$B$9</f>
        <v>549.215666666667</v>
      </c>
      <c r="D80" s="10" t="n">
        <f aca="false">A80/$D$4</f>
        <v>4.11111111111111</v>
      </c>
      <c r="E80" s="11" t="n">
        <f aca="false">D80*'Karnataka Fuel Rates'!$C$9</f>
        <v>408.089444444444</v>
      </c>
    </row>
    <row r="81" customFormat="false" ht="15" hidden="false" customHeight="true" outlineLevel="0" collapsed="false">
      <c r="A81" s="1" t="n">
        <v>75</v>
      </c>
      <c r="B81" s="10" t="n">
        <f aca="false">A81/$B$4</f>
        <v>5</v>
      </c>
      <c r="C81" s="11" t="n">
        <f aca="false">B81*'Karnataka Fuel Rates'!$B$9</f>
        <v>556.6375</v>
      </c>
      <c r="D81" s="10" t="n">
        <f aca="false">A81/$D$4</f>
        <v>4.16666666666667</v>
      </c>
      <c r="E81" s="11" t="n">
        <f aca="false">D81*'Karnataka Fuel Rates'!$C$9</f>
        <v>413.604166666667</v>
      </c>
    </row>
    <row r="82" customFormat="false" ht="15" hidden="false" customHeight="true" outlineLevel="0" collapsed="false">
      <c r="A82" s="1" t="n">
        <v>76</v>
      </c>
      <c r="B82" s="10" t="n">
        <f aca="false">A82/$B$4</f>
        <v>5.06666666666667</v>
      </c>
      <c r="C82" s="11" t="n">
        <f aca="false">B82*'Karnataka Fuel Rates'!$B$9</f>
        <v>564.059333333333</v>
      </c>
      <c r="D82" s="10" t="n">
        <f aca="false">A82/$D$4</f>
        <v>4.22222222222222</v>
      </c>
      <c r="E82" s="11" t="n">
        <f aca="false">D82*'Karnataka Fuel Rates'!$C$9</f>
        <v>419.118888888889</v>
      </c>
    </row>
    <row r="83" customFormat="false" ht="15" hidden="false" customHeight="true" outlineLevel="0" collapsed="false">
      <c r="A83" s="1" t="n">
        <v>77</v>
      </c>
      <c r="B83" s="10" t="n">
        <f aca="false">A83/$B$4</f>
        <v>5.13333333333333</v>
      </c>
      <c r="C83" s="11" t="n">
        <f aca="false">B83*'Karnataka Fuel Rates'!$B$9</f>
        <v>571.481166666667</v>
      </c>
      <c r="D83" s="10" t="n">
        <f aca="false">A83/$D$4</f>
        <v>4.27777777777778</v>
      </c>
      <c r="E83" s="11" t="n">
        <f aca="false">D83*'Karnataka Fuel Rates'!$C$9</f>
        <v>424.633611111111</v>
      </c>
    </row>
    <row r="84" customFormat="false" ht="15" hidden="false" customHeight="true" outlineLevel="0" collapsed="false">
      <c r="A84" s="1" t="n">
        <v>78</v>
      </c>
      <c r="B84" s="10" t="n">
        <f aca="false">A84/$B$4</f>
        <v>5.2</v>
      </c>
      <c r="C84" s="11" t="n">
        <f aca="false">B84*'Karnataka Fuel Rates'!$B$9</f>
        <v>578.903</v>
      </c>
      <c r="D84" s="10" t="n">
        <f aca="false">A84/$D$4</f>
        <v>4.33333333333333</v>
      </c>
      <c r="E84" s="11" t="n">
        <f aca="false">D84*'Karnataka Fuel Rates'!$C$9</f>
        <v>430.148333333333</v>
      </c>
    </row>
    <row r="85" customFormat="false" ht="15" hidden="false" customHeight="true" outlineLevel="0" collapsed="false">
      <c r="A85" s="1" t="n">
        <v>79</v>
      </c>
      <c r="B85" s="10" t="n">
        <f aca="false">A85/$B$4</f>
        <v>5.26666666666667</v>
      </c>
      <c r="C85" s="11" t="n">
        <f aca="false">B85*'Karnataka Fuel Rates'!$B$9</f>
        <v>586.324833333333</v>
      </c>
      <c r="D85" s="10" t="n">
        <f aca="false">A85/$D$4</f>
        <v>4.38888888888889</v>
      </c>
      <c r="E85" s="11" t="n">
        <f aca="false">D85*'Karnataka Fuel Rates'!$C$9</f>
        <v>435.663055555556</v>
      </c>
    </row>
    <row r="86" customFormat="false" ht="15" hidden="false" customHeight="true" outlineLevel="0" collapsed="false">
      <c r="A86" s="1" t="n">
        <v>80</v>
      </c>
      <c r="B86" s="10" t="n">
        <f aca="false">A86/$B$4</f>
        <v>5.33333333333333</v>
      </c>
      <c r="C86" s="11" t="n">
        <f aca="false">B86*'Karnataka Fuel Rates'!$B$9</f>
        <v>593.746666666667</v>
      </c>
      <c r="D86" s="10" t="n">
        <f aca="false">A86/$D$4</f>
        <v>4.44444444444445</v>
      </c>
      <c r="E86" s="11" t="n">
        <f aca="false">D86*'Karnataka Fuel Rates'!$C$9</f>
        <v>441.177777777778</v>
      </c>
    </row>
    <row r="87" customFormat="false" ht="15" hidden="false" customHeight="true" outlineLevel="0" collapsed="false">
      <c r="A87" s="1" t="n">
        <v>81</v>
      </c>
      <c r="B87" s="10" t="n">
        <f aca="false">A87/$B$4</f>
        <v>5.4</v>
      </c>
      <c r="C87" s="11" t="n">
        <f aca="false">B87*'Karnataka Fuel Rates'!$B$9</f>
        <v>601.1685</v>
      </c>
      <c r="D87" s="10" t="n">
        <f aca="false">A87/$D$4</f>
        <v>4.5</v>
      </c>
      <c r="E87" s="11" t="n">
        <f aca="false">D87*'Karnataka Fuel Rates'!$C$9</f>
        <v>446.6925</v>
      </c>
    </row>
    <row r="88" customFormat="false" ht="15" hidden="false" customHeight="true" outlineLevel="0" collapsed="false">
      <c r="A88" s="1" t="n">
        <v>82</v>
      </c>
      <c r="B88" s="10" t="n">
        <f aca="false">A88/$B$4</f>
        <v>5.46666666666667</v>
      </c>
      <c r="C88" s="11" t="n">
        <f aca="false">B88*'Karnataka Fuel Rates'!$B$9</f>
        <v>608.590333333333</v>
      </c>
      <c r="D88" s="10" t="n">
        <f aca="false">A88/$D$4</f>
        <v>4.55555555555556</v>
      </c>
      <c r="E88" s="11" t="n">
        <f aca="false">D88*'Karnataka Fuel Rates'!$C$9</f>
        <v>452.207222222222</v>
      </c>
    </row>
    <row r="89" customFormat="false" ht="15" hidden="false" customHeight="true" outlineLevel="0" collapsed="false">
      <c r="A89" s="1" t="n">
        <v>83</v>
      </c>
      <c r="B89" s="10" t="n">
        <f aca="false">A89/$B$4</f>
        <v>5.53333333333333</v>
      </c>
      <c r="C89" s="11" t="n">
        <f aca="false">B89*'Karnataka Fuel Rates'!$B$9</f>
        <v>616.012166666667</v>
      </c>
      <c r="D89" s="10" t="n">
        <f aca="false">A89/$D$4</f>
        <v>4.61111111111111</v>
      </c>
      <c r="E89" s="11" t="n">
        <f aca="false">D89*'Karnataka Fuel Rates'!$C$9</f>
        <v>457.721944444444</v>
      </c>
    </row>
    <row r="90" customFormat="false" ht="15" hidden="false" customHeight="true" outlineLevel="0" collapsed="false">
      <c r="A90" s="1" t="n">
        <v>84</v>
      </c>
      <c r="B90" s="10" t="n">
        <f aca="false">A90/$B$4</f>
        <v>5.6</v>
      </c>
      <c r="C90" s="11" t="n">
        <f aca="false">B90*'Karnataka Fuel Rates'!$B$9</f>
        <v>623.434</v>
      </c>
      <c r="D90" s="10" t="n">
        <f aca="false">A90/$D$4</f>
        <v>4.66666666666667</v>
      </c>
      <c r="E90" s="11" t="n">
        <f aca="false">D90*'Karnataka Fuel Rates'!$C$9</f>
        <v>463.236666666667</v>
      </c>
    </row>
    <row r="91" customFormat="false" ht="15" hidden="false" customHeight="true" outlineLevel="0" collapsed="false">
      <c r="A91" s="1" t="n">
        <v>85</v>
      </c>
      <c r="B91" s="10" t="n">
        <f aca="false">A91/$B$4</f>
        <v>5.66666666666667</v>
      </c>
      <c r="C91" s="11" t="n">
        <f aca="false">B91*'Karnataka Fuel Rates'!$B$9</f>
        <v>630.855833333333</v>
      </c>
      <c r="D91" s="10" t="n">
        <f aca="false">A91/$D$4</f>
        <v>4.72222222222222</v>
      </c>
      <c r="E91" s="11" t="n">
        <f aca="false">D91*'Karnataka Fuel Rates'!$C$9</f>
        <v>468.751388888889</v>
      </c>
    </row>
    <row r="92" customFormat="false" ht="15" hidden="false" customHeight="true" outlineLevel="0" collapsed="false">
      <c r="A92" s="1" t="n">
        <v>86</v>
      </c>
      <c r="B92" s="10" t="n">
        <f aca="false">A92/$B$4</f>
        <v>5.73333333333333</v>
      </c>
      <c r="C92" s="11" t="n">
        <f aca="false">B92*'Karnataka Fuel Rates'!$B$9</f>
        <v>638.277666666667</v>
      </c>
      <c r="D92" s="10" t="n">
        <f aca="false">A92/$D$4</f>
        <v>4.77777777777778</v>
      </c>
      <c r="E92" s="11" t="n">
        <f aca="false">D92*'Karnataka Fuel Rates'!$C$9</f>
        <v>474.266111111111</v>
      </c>
    </row>
    <row r="93" customFormat="false" ht="15" hidden="false" customHeight="true" outlineLevel="0" collapsed="false">
      <c r="A93" s="1" t="n">
        <v>87</v>
      </c>
      <c r="B93" s="10" t="n">
        <f aca="false">A93/$B$4</f>
        <v>5.8</v>
      </c>
      <c r="C93" s="11" t="n">
        <f aca="false">B93*'Karnataka Fuel Rates'!$B$9</f>
        <v>645.6995</v>
      </c>
      <c r="D93" s="10" t="n">
        <f aca="false">A93/$D$4</f>
        <v>4.83333333333333</v>
      </c>
      <c r="E93" s="11" t="n">
        <f aca="false">D93*'Karnataka Fuel Rates'!$C$9</f>
        <v>479.780833333333</v>
      </c>
    </row>
    <row r="94" customFormat="false" ht="15" hidden="false" customHeight="true" outlineLevel="0" collapsed="false">
      <c r="A94" s="1" t="n">
        <v>88</v>
      </c>
      <c r="B94" s="10" t="n">
        <f aca="false">A94/$B$4</f>
        <v>5.86666666666667</v>
      </c>
      <c r="C94" s="11" t="n">
        <f aca="false">B94*'Karnataka Fuel Rates'!$B$9</f>
        <v>653.121333333333</v>
      </c>
      <c r="D94" s="10" t="n">
        <f aca="false">A94/$D$4</f>
        <v>4.88888888888889</v>
      </c>
      <c r="E94" s="11" t="n">
        <f aca="false">D94*'Karnataka Fuel Rates'!$C$9</f>
        <v>485.295555555556</v>
      </c>
    </row>
    <row r="95" customFormat="false" ht="15" hidden="false" customHeight="true" outlineLevel="0" collapsed="false">
      <c r="A95" s="1" t="n">
        <v>89</v>
      </c>
      <c r="B95" s="10" t="n">
        <f aca="false">A95/$B$4</f>
        <v>5.93333333333333</v>
      </c>
      <c r="C95" s="11" t="n">
        <f aca="false">B95*'Karnataka Fuel Rates'!$B$9</f>
        <v>660.543166666667</v>
      </c>
      <c r="D95" s="10" t="n">
        <f aca="false">A95/$D$4</f>
        <v>4.94444444444445</v>
      </c>
      <c r="E95" s="11" t="n">
        <f aca="false">D95*'Karnataka Fuel Rates'!$C$9</f>
        <v>490.810277777778</v>
      </c>
    </row>
    <row r="96" customFormat="false" ht="15" hidden="false" customHeight="true" outlineLevel="0" collapsed="false">
      <c r="A96" s="1" t="n">
        <v>90</v>
      </c>
      <c r="B96" s="10" t="n">
        <f aca="false">A96/$B$4</f>
        <v>6</v>
      </c>
      <c r="C96" s="11" t="n">
        <f aca="false">B96*'Karnataka Fuel Rates'!$B$9</f>
        <v>667.965</v>
      </c>
      <c r="D96" s="10" t="n">
        <f aca="false">A96/$D$4</f>
        <v>5</v>
      </c>
      <c r="E96" s="11" t="n">
        <f aca="false">D96*'Karnataka Fuel Rates'!$C$9</f>
        <v>496.325</v>
      </c>
    </row>
    <row r="97" customFormat="false" ht="15" hidden="false" customHeight="true" outlineLevel="0" collapsed="false">
      <c r="A97" s="1" t="n">
        <v>91</v>
      </c>
      <c r="B97" s="10" t="n">
        <f aca="false">A97/$B$4</f>
        <v>6.06666666666667</v>
      </c>
      <c r="C97" s="11" t="n">
        <f aca="false">B97*'Karnataka Fuel Rates'!$B$9</f>
        <v>675.386833333333</v>
      </c>
      <c r="D97" s="10" t="n">
        <f aca="false">A97/$D$4</f>
        <v>5.05555555555556</v>
      </c>
      <c r="E97" s="11" t="n">
        <f aca="false">D97*'Karnataka Fuel Rates'!$C$9</f>
        <v>501.839722222222</v>
      </c>
    </row>
    <row r="98" customFormat="false" ht="15" hidden="false" customHeight="true" outlineLevel="0" collapsed="false">
      <c r="A98" s="1" t="n">
        <v>92</v>
      </c>
      <c r="B98" s="10" t="n">
        <f aca="false">A98/$B$4</f>
        <v>6.13333333333333</v>
      </c>
      <c r="C98" s="11" t="n">
        <f aca="false">B98*'Karnataka Fuel Rates'!$B$9</f>
        <v>682.808666666667</v>
      </c>
      <c r="D98" s="10" t="n">
        <f aca="false">A98/$D$4</f>
        <v>5.11111111111111</v>
      </c>
      <c r="E98" s="11" t="n">
        <f aca="false">D98*'Karnataka Fuel Rates'!$C$9</f>
        <v>507.354444444444</v>
      </c>
    </row>
    <row r="99" customFormat="false" ht="15" hidden="false" customHeight="true" outlineLevel="0" collapsed="false">
      <c r="A99" s="1" t="n">
        <v>93</v>
      </c>
      <c r="B99" s="10" t="n">
        <f aca="false">A99/$B$4</f>
        <v>6.2</v>
      </c>
      <c r="C99" s="11" t="n">
        <f aca="false">B99*'Karnataka Fuel Rates'!$B$9</f>
        <v>690.2305</v>
      </c>
      <c r="D99" s="10" t="n">
        <f aca="false">A99/$D$4</f>
        <v>5.16666666666667</v>
      </c>
      <c r="E99" s="11" t="n">
        <f aca="false">D99*'Karnataka Fuel Rates'!$C$9</f>
        <v>512.869166666667</v>
      </c>
    </row>
    <row r="100" customFormat="false" ht="15" hidden="false" customHeight="true" outlineLevel="0" collapsed="false">
      <c r="A100" s="1" t="n">
        <v>94</v>
      </c>
      <c r="B100" s="10" t="n">
        <f aca="false">A100/$B$4</f>
        <v>6.26666666666667</v>
      </c>
      <c r="C100" s="11" t="n">
        <f aca="false">B100*'Karnataka Fuel Rates'!$B$9</f>
        <v>697.652333333333</v>
      </c>
      <c r="D100" s="10" t="n">
        <f aca="false">A100/$D$4</f>
        <v>5.22222222222222</v>
      </c>
      <c r="E100" s="11" t="n">
        <f aca="false">D100*'Karnataka Fuel Rates'!$C$9</f>
        <v>518.383888888889</v>
      </c>
    </row>
    <row r="101" customFormat="false" ht="15" hidden="false" customHeight="true" outlineLevel="0" collapsed="false">
      <c r="A101" s="1" t="n">
        <v>95</v>
      </c>
      <c r="B101" s="10" t="n">
        <f aca="false">A101/$B$4</f>
        <v>6.33333333333333</v>
      </c>
      <c r="C101" s="11" t="n">
        <f aca="false">B101*'Karnataka Fuel Rates'!$B$9</f>
        <v>705.074166666667</v>
      </c>
      <c r="D101" s="10" t="n">
        <f aca="false">A101/$D$4</f>
        <v>5.27777777777778</v>
      </c>
      <c r="E101" s="11" t="n">
        <f aca="false">D101*'Karnataka Fuel Rates'!$C$9</f>
        <v>523.898611111111</v>
      </c>
    </row>
    <row r="102" customFormat="false" ht="15" hidden="false" customHeight="true" outlineLevel="0" collapsed="false">
      <c r="A102" s="1" t="n">
        <v>96</v>
      </c>
      <c r="B102" s="10" t="n">
        <f aca="false">A102/$B$4</f>
        <v>6.4</v>
      </c>
      <c r="C102" s="11" t="n">
        <f aca="false">B102*'Karnataka Fuel Rates'!$B$9</f>
        <v>712.496</v>
      </c>
      <c r="D102" s="10" t="n">
        <f aca="false">A102/$D$4</f>
        <v>5.33333333333333</v>
      </c>
      <c r="E102" s="11" t="n">
        <f aca="false">D102*'Karnataka Fuel Rates'!$C$9</f>
        <v>529.413333333333</v>
      </c>
    </row>
    <row r="103" customFormat="false" ht="15" hidden="false" customHeight="true" outlineLevel="0" collapsed="false">
      <c r="A103" s="1" t="n">
        <v>97</v>
      </c>
      <c r="B103" s="10" t="n">
        <f aca="false">A103/$B$4</f>
        <v>6.46666666666667</v>
      </c>
      <c r="C103" s="11" t="n">
        <f aca="false">B103*'Karnataka Fuel Rates'!$B$9</f>
        <v>719.917833333333</v>
      </c>
      <c r="D103" s="10" t="n">
        <f aca="false">A103/$D$4</f>
        <v>5.38888888888889</v>
      </c>
      <c r="E103" s="11" t="n">
        <f aca="false">D103*'Karnataka Fuel Rates'!$C$9</f>
        <v>534.928055555556</v>
      </c>
    </row>
    <row r="104" customFormat="false" ht="15" hidden="false" customHeight="true" outlineLevel="0" collapsed="false">
      <c r="A104" s="1" t="n">
        <v>98</v>
      </c>
      <c r="B104" s="10" t="n">
        <f aca="false">A104/$B$4</f>
        <v>6.53333333333333</v>
      </c>
      <c r="C104" s="11" t="n">
        <f aca="false">B104*'Karnataka Fuel Rates'!$B$9</f>
        <v>727.339666666667</v>
      </c>
      <c r="D104" s="10" t="n">
        <f aca="false">A104/$D$4</f>
        <v>5.44444444444445</v>
      </c>
      <c r="E104" s="11" t="n">
        <f aca="false">D104*'Karnataka Fuel Rates'!$C$9</f>
        <v>540.442777777778</v>
      </c>
    </row>
    <row r="105" customFormat="false" ht="15" hidden="false" customHeight="true" outlineLevel="0" collapsed="false">
      <c r="A105" s="1" t="n">
        <v>99</v>
      </c>
      <c r="B105" s="10" t="n">
        <f aca="false">A105/$B$4</f>
        <v>6.6</v>
      </c>
      <c r="C105" s="11" t="n">
        <f aca="false">B105*'Karnataka Fuel Rates'!$B$9</f>
        <v>734.7615</v>
      </c>
      <c r="D105" s="10" t="n">
        <f aca="false">A105/$D$4</f>
        <v>5.5</v>
      </c>
      <c r="E105" s="11" t="n">
        <f aca="false">D105*'Karnataka Fuel Rates'!$C$9</f>
        <v>545.9575</v>
      </c>
    </row>
    <row r="106" customFormat="false" ht="15" hidden="false" customHeight="true" outlineLevel="0" collapsed="false">
      <c r="A106" s="1" t="n">
        <v>100</v>
      </c>
      <c r="B106" s="10" t="n">
        <f aca="false">A106/$B$4</f>
        <v>6.66666666666667</v>
      </c>
      <c r="C106" s="11" t="n">
        <f aca="false">B106*'Karnataka Fuel Rates'!$B$9</f>
        <v>742.183333333333</v>
      </c>
      <c r="D106" s="10" t="n">
        <f aca="false">A106/$D$4</f>
        <v>5.55555555555556</v>
      </c>
      <c r="E106" s="11" t="n">
        <f aca="false">D106*'Karnataka Fuel Rates'!$C$9</f>
        <v>551.472222222222</v>
      </c>
    </row>
    <row r="107" customFormat="false" ht="15" hidden="false" customHeight="true" outlineLevel="0" collapsed="false">
      <c r="A107" s="1" t="n">
        <v>101</v>
      </c>
      <c r="B107" s="10" t="n">
        <f aca="false">A107/$B$4</f>
        <v>6.73333333333333</v>
      </c>
      <c r="C107" s="11" t="n">
        <f aca="false">B107*'Karnataka Fuel Rates'!$B$9</f>
        <v>749.605166666667</v>
      </c>
      <c r="D107" s="10" t="n">
        <f aca="false">A107/$D$4</f>
        <v>5.61111111111111</v>
      </c>
      <c r="E107" s="11" t="n">
        <f aca="false">D107*'Karnataka Fuel Rates'!$C$9</f>
        <v>556.986944444444</v>
      </c>
    </row>
    <row r="108" customFormat="false" ht="15" hidden="false" customHeight="true" outlineLevel="0" collapsed="false">
      <c r="A108" s="1" t="n">
        <v>102</v>
      </c>
      <c r="B108" s="10" t="n">
        <f aca="false">A108/$B$4</f>
        <v>6.8</v>
      </c>
      <c r="C108" s="11" t="n">
        <f aca="false">B108*'Karnataka Fuel Rates'!$B$9</f>
        <v>757.027</v>
      </c>
      <c r="D108" s="10" t="n">
        <f aca="false">A108/$D$4</f>
        <v>5.66666666666667</v>
      </c>
      <c r="E108" s="11" t="n">
        <f aca="false">D108*'Karnataka Fuel Rates'!$C$9</f>
        <v>562.501666666667</v>
      </c>
    </row>
    <row r="109" customFormat="false" ht="15" hidden="false" customHeight="true" outlineLevel="0" collapsed="false">
      <c r="A109" s="1" t="n">
        <v>103</v>
      </c>
      <c r="B109" s="10" t="n">
        <f aca="false">A109/$B$4</f>
        <v>6.86666666666667</v>
      </c>
      <c r="C109" s="11" t="n">
        <f aca="false">B109*'Karnataka Fuel Rates'!$B$9</f>
        <v>764.448833333333</v>
      </c>
      <c r="D109" s="10" t="n">
        <f aca="false">A109/$D$4</f>
        <v>5.72222222222222</v>
      </c>
      <c r="E109" s="11" t="n">
        <f aca="false">D109*'Karnataka Fuel Rates'!$C$9</f>
        <v>568.016388888889</v>
      </c>
    </row>
    <row r="110" customFormat="false" ht="15" hidden="false" customHeight="true" outlineLevel="0" collapsed="false">
      <c r="A110" s="1" t="n">
        <v>104</v>
      </c>
      <c r="B110" s="10" t="n">
        <f aca="false">A110/$B$4</f>
        <v>6.93333333333333</v>
      </c>
      <c r="C110" s="11" t="n">
        <f aca="false">B110*'Karnataka Fuel Rates'!$B$9</f>
        <v>771.870666666667</v>
      </c>
      <c r="D110" s="10" t="n">
        <f aca="false">A110/$D$4</f>
        <v>5.77777777777778</v>
      </c>
      <c r="E110" s="11" t="n">
        <f aca="false">D110*'Karnataka Fuel Rates'!$C$9</f>
        <v>573.531111111111</v>
      </c>
    </row>
    <row r="111" customFormat="false" ht="15" hidden="false" customHeight="true" outlineLevel="0" collapsed="false">
      <c r="A111" s="1" t="n">
        <v>105</v>
      </c>
      <c r="B111" s="10" t="n">
        <f aca="false">A111/$B$4</f>
        <v>7</v>
      </c>
      <c r="C111" s="11" t="n">
        <f aca="false">B111*'Karnataka Fuel Rates'!$B$9</f>
        <v>779.2925</v>
      </c>
      <c r="D111" s="10" t="n">
        <f aca="false">A111/$D$4</f>
        <v>5.83333333333333</v>
      </c>
      <c r="E111" s="11" t="n">
        <f aca="false">D111*'Karnataka Fuel Rates'!$C$9</f>
        <v>579.045833333333</v>
      </c>
    </row>
    <row r="112" customFormat="false" ht="15" hidden="false" customHeight="true" outlineLevel="0" collapsed="false">
      <c r="A112" s="1" t="n">
        <v>106</v>
      </c>
      <c r="B112" s="10" t="n">
        <f aca="false">A112/$B$4</f>
        <v>7.06666666666667</v>
      </c>
      <c r="C112" s="11" t="n">
        <f aca="false">B112*'Karnataka Fuel Rates'!$B$9</f>
        <v>786.714333333333</v>
      </c>
      <c r="D112" s="10" t="n">
        <f aca="false">A112/$D$4</f>
        <v>5.88888888888889</v>
      </c>
      <c r="E112" s="11" t="n">
        <f aca="false">D112*'Karnataka Fuel Rates'!$C$9</f>
        <v>584.560555555556</v>
      </c>
    </row>
    <row r="113" customFormat="false" ht="15" hidden="false" customHeight="true" outlineLevel="0" collapsed="false">
      <c r="A113" s="1" t="n">
        <v>107</v>
      </c>
      <c r="B113" s="10" t="n">
        <f aca="false">A113/$B$4</f>
        <v>7.13333333333333</v>
      </c>
      <c r="C113" s="11" t="n">
        <f aca="false">B113*'Karnataka Fuel Rates'!$B$9</f>
        <v>794.136166666667</v>
      </c>
      <c r="D113" s="10" t="n">
        <f aca="false">A113/$D$4</f>
        <v>5.94444444444445</v>
      </c>
      <c r="E113" s="11" t="n">
        <f aca="false">D113*'Karnataka Fuel Rates'!$C$9</f>
        <v>590.075277777778</v>
      </c>
    </row>
    <row r="114" customFormat="false" ht="15" hidden="false" customHeight="true" outlineLevel="0" collapsed="false">
      <c r="A114" s="1" t="n">
        <v>108</v>
      </c>
      <c r="B114" s="10" t="n">
        <f aca="false">A114/$B$4</f>
        <v>7.2</v>
      </c>
      <c r="C114" s="11" t="n">
        <f aca="false">B114*'Karnataka Fuel Rates'!$B$9</f>
        <v>801.558</v>
      </c>
      <c r="D114" s="10" t="n">
        <f aca="false">A114/$D$4</f>
        <v>6</v>
      </c>
      <c r="E114" s="11" t="n">
        <f aca="false">D114*'Karnataka Fuel Rates'!$C$9</f>
        <v>595.59</v>
      </c>
    </row>
    <row r="115" customFormat="false" ht="15" hidden="false" customHeight="true" outlineLevel="0" collapsed="false">
      <c r="A115" s="1" t="n">
        <v>109</v>
      </c>
      <c r="B115" s="10" t="n">
        <f aca="false">A115/$B$4</f>
        <v>7.26666666666667</v>
      </c>
      <c r="C115" s="11" t="n">
        <f aca="false">B115*'Karnataka Fuel Rates'!$B$9</f>
        <v>808.979833333333</v>
      </c>
      <c r="D115" s="10" t="n">
        <f aca="false">A115/$D$4</f>
        <v>6.05555555555556</v>
      </c>
      <c r="E115" s="11" t="n">
        <f aca="false">D115*'Karnataka Fuel Rates'!$C$9</f>
        <v>601.104722222222</v>
      </c>
    </row>
    <row r="116" customFormat="false" ht="15" hidden="false" customHeight="true" outlineLevel="0" collapsed="false">
      <c r="A116" s="1" t="n">
        <v>110</v>
      </c>
      <c r="B116" s="10" t="n">
        <f aca="false">A116/$B$4</f>
        <v>7.33333333333333</v>
      </c>
      <c r="C116" s="11" t="n">
        <f aca="false">B116*'Karnataka Fuel Rates'!$B$9</f>
        <v>816.401666666667</v>
      </c>
      <c r="D116" s="10" t="n">
        <f aca="false">A116/$D$4</f>
        <v>6.11111111111111</v>
      </c>
      <c r="E116" s="11" t="n">
        <f aca="false">D116*'Karnataka Fuel Rates'!$C$9</f>
        <v>606.619444444444</v>
      </c>
    </row>
    <row r="117" customFormat="false" ht="15" hidden="false" customHeight="true" outlineLevel="0" collapsed="false">
      <c r="A117" s="1" t="n">
        <v>111</v>
      </c>
      <c r="B117" s="10" t="n">
        <f aca="false">A117/$B$4</f>
        <v>7.4</v>
      </c>
      <c r="C117" s="11" t="n">
        <f aca="false">B117*'Karnataka Fuel Rates'!$B$9</f>
        <v>823.8235</v>
      </c>
      <c r="D117" s="10" t="n">
        <f aca="false">A117/$D$4</f>
        <v>6.16666666666667</v>
      </c>
      <c r="E117" s="11" t="n">
        <f aca="false">D117*'Karnataka Fuel Rates'!$C$9</f>
        <v>612.134166666667</v>
      </c>
    </row>
    <row r="118" customFormat="false" ht="15" hidden="false" customHeight="true" outlineLevel="0" collapsed="false">
      <c r="A118" s="1" t="n">
        <v>112</v>
      </c>
      <c r="B118" s="10" t="n">
        <f aca="false">A118/$B$4</f>
        <v>7.46666666666667</v>
      </c>
      <c r="C118" s="11" t="n">
        <f aca="false">B118*'Karnataka Fuel Rates'!$B$9</f>
        <v>831.245333333333</v>
      </c>
      <c r="D118" s="10" t="n">
        <f aca="false">A118/$D$4</f>
        <v>6.22222222222222</v>
      </c>
      <c r="E118" s="11" t="n">
        <f aca="false">D118*'Karnataka Fuel Rates'!$C$9</f>
        <v>617.648888888889</v>
      </c>
    </row>
    <row r="119" customFormat="false" ht="15" hidden="false" customHeight="true" outlineLevel="0" collapsed="false">
      <c r="A119" s="1" t="n">
        <v>113</v>
      </c>
      <c r="B119" s="10" t="n">
        <f aca="false">A119/$B$4</f>
        <v>7.53333333333333</v>
      </c>
      <c r="C119" s="11" t="n">
        <f aca="false">B119*'Karnataka Fuel Rates'!$B$9</f>
        <v>838.667166666667</v>
      </c>
      <c r="D119" s="10" t="n">
        <f aca="false">A119/$D$4</f>
        <v>6.27777777777778</v>
      </c>
      <c r="E119" s="11" t="n">
        <f aca="false">D119*'Karnataka Fuel Rates'!$C$9</f>
        <v>623.163611111111</v>
      </c>
    </row>
    <row r="120" customFormat="false" ht="15" hidden="false" customHeight="true" outlineLevel="0" collapsed="false">
      <c r="A120" s="1" t="n">
        <v>114</v>
      </c>
      <c r="B120" s="10" t="n">
        <f aca="false">A120/$B$4</f>
        <v>7.6</v>
      </c>
      <c r="C120" s="11" t="n">
        <f aca="false">B120*'Karnataka Fuel Rates'!$B$9</f>
        <v>846.089</v>
      </c>
      <c r="D120" s="10" t="n">
        <f aca="false">A120/$D$4</f>
        <v>6.33333333333333</v>
      </c>
      <c r="E120" s="11" t="n">
        <f aca="false">D120*'Karnataka Fuel Rates'!$C$9</f>
        <v>628.678333333333</v>
      </c>
    </row>
    <row r="121" customFormat="false" ht="15" hidden="false" customHeight="true" outlineLevel="0" collapsed="false">
      <c r="A121" s="1" t="n">
        <v>115</v>
      </c>
      <c r="B121" s="10" t="n">
        <f aca="false">A121/$B$4</f>
        <v>7.66666666666667</v>
      </c>
      <c r="C121" s="11" t="n">
        <f aca="false">B121*'Karnataka Fuel Rates'!$B$9</f>
        <v>853.510833333333</v>
      </c>
      <c r="D121" s="10" t="n">
        <f aca="false">A121/$D$4</f>
        <v>6.38888888888889</v>
      </c>
      <c r="E121" s="11" t="n">
        <f aca="false">D121*'Karnataka Fuel Rates'!$C$9</f>
        <v>634.193055555556</v>
      </c>
    </row>
    <row r="122" customFormat="false" ht="15" hidden="false" customHeight="true" outlineLevel="0" collapsed="false">
      <c r="A122" s="1" t="n">
        <v>116</v>
      </c>
      <c r="B122" s="10" t="n">
        <f aca="false">A122/$B$4</f>
        <v>7.73333333333333</v>
      </c>
      <c r="C122" s="11" t="n">
        <f aca="false">B122*'Karnataka Fuel Rates'!$B$9</f>
        <v>860.932666666667</v>
      </c>
      <c r="D122" s="10" t="n">
        <f aca="false">A122/$D$4</f>
        <v>6.44444444444445</v>
      </c>
      <c r="E122" s="11" t="n">
        <f aca="false">D122*'Karnataka Fuel Rates'!$C$9</f>
        <v>639.707777777778</v>
      </c>
    </row>
    <row r="123" customFormat="false" ht="15" hidden="false" customHeight="true" outlineLevel="0" collapsed="false">
      <c r="A123" s="1" t="n">
        <v>117</v>
      </c>
      <c r="B123" s="10" t="n">
        <f aca="false">A123/$B$4</f>
        <v>7.8</v>
      </c>
      <c r="C123" s="11" t="n">
        <f aca="false">B123*'Karnataka Fuel Rates'!$B$9</f>
        <v>868.3545</v>
      </c>
      <c r="D123" s="10" t="n">
        <f aca="false">A123/$D$4</f>
        <v>6.5</v>
      </c>
      <c r="E123" s="11" t="n">
        <f aca="false">D123*'Karnataka Fuel Rates'!$C$9</f>
        <v>645.2225</v>
      </c>
    </row>
    <row r="124" customFormat="false" ht="15" hidden="false" customHeight="true" outlineLevel="0" collapsed="false">
      <c r="A124" s="1" t="n">
        <v>118</v>
      </c>
      <c r="B124" s="10" t="n">
        <f aca="false">A124/$B$4</f>
        <v>7.86666666666667</v>
      </c>
      <c r="C124" s="11" t="n">
        <f aca="false">B124*'Karnataka Fuel Rates'!$B$9</f>
        <v>875.776333333333</v>
      </c>
      <c r="D124" s="10" t="n">
        <f aca="false">A124/$D$4</f>
        <v>6.55555555555556</v>
      </c>
      <c r="E124" s="11" t="n">
        <f aca="false">D124*'Karnataka Fuel Rates'!$C$9</f>
        <v>650.737222222222</v>
      </c>
    </row>
    <row r="125" customFormat="false" ht="15" hidden="false" customHeight="true" outlineLevel="0" collapsed="false">
      <c r="A125" s="1" t="n">
        <v>119</v>
      </c>
      <c r="B125" s="10" t="n">
        <f aca="false">A125/$B$4</f>
        <v>7.93333333333333</v>
      </c>
      <c r="C125" s="11" t="n">
        <f aca="false">B125*'Karnataka Fuel Rates'!$B$9</f>
        <v>883.198166666667</v>
      </c>
      <c r="D125" s="10" t="n">
        <f aca="false">A125/$D$4</f>
        <v>6.61111111111111</v>
      </c>
      <c r="E125" s="11" t="n">
        <f aca="false">D125*'Karnataka Fuel Rates'!$C$9</f>
        <v>656.251944444445</v>
      </c>
    </row>
    <row r="126" customFormat="false" ht="15" hidden="false" customHeight="true" outlineLevel="0" collapsed="false">
      <c r="A126" s="1" t="n">
        <v>120</v>
      </c>
      <c r="B126" s="10" t="n">
        <f aca="false">A126/$B$4</f>
        <v>8</v>
      </c>
      <c r="C126" s="11" t="n">
        <f aca="false">B126*'Karnataka Fuel Rates'!$B$9</f>
        <v>890.62</v>
      </c>
      <c r="D126" s="10" t="n">
        <f aca="false">A126/$D$4</f>
        <v>6.66666666666667</v>
      </c>
      <c r="E126" s="11" t="n">
        <f aca="false">D126*'Karnataka Fuel Rates'!$C$9</f>
        <v>661.766666666667</v>
      </c>
    </row>
    <row r="127" customFormat="false" ht="15" hidden="false" customHeight="true" outlineLevel="0" collapsed="false">
      <c r="A127" s="1" t="n">
        <v>121</v>
      </c>
      <c r="B127" s="10" t="n">
        <f aca="false">A127/$B$4</f>
        <v>8.06666666666667</v>
      </c>
      <c r="C127" s="11" t="n">
        <f aca="false">B127*'Karnataka Fuel Rates'!$B$9</f>
        <v>898.041833333333</v>
      </c>
      <c r="D127" s="10" t="n">
        <f aca="false">A127/$D$4</f>
        <v>6.72222222222222</v>
      </c>
      <c r="E127" s="11" t="n">
        <f aca="false">D127*'Karnataka Fuel Rates'!$C$9</f>
        <v>667.281388888889</v>
      </c>
    </row>
    <row r="128" customFormat="false" ht="15" hidden="false" customHeight="true" outlineLevel="0" collapsed="false">
      <c r="A128" s="1" t="n">
        <v>122</v>
      </c>
      <c r="B128" s="10" t="n">
        <f aca="false">A128/$B$4</f>
        <v>8.13333333333333</v>
      </c>
      <c r="C128" s="11" t="n">
        <f aca="false">B128*'Karnataka Fuel Rates'!$B$9</f>
        <v>905.463666666667</v>
      </c>
      <c r="D128" s="10" t="n">
        <f aca="false">A128/$D$4</f>
        <v>6.77777777777778</v>
      </c>
      <c r="E128" s="11" t="n">
        <f aca="false">D128*'Karnataka Fuel Rates'!$C$9</f>
        <v>672.796111111111</v>
      </c>
    </row>
    <row r="129" customFormat="false" ht="15" hidden="false" customHeight="true" outlineLevel="0" collapsed="false">
      <c r="A129" s="1" t="n">
        <v>123</v>
      </c>
      <c r="B129" s="10" t="n">
        <f aca="false">A129/$B$4</f>
        <v>8.2</v>
      </c>
      <c r="C129" s="11" t="n">
        <f aca="false">B129*'Karnataka Fuel Rates'!$B$9</f>
        <v>912.8855</v>
      </c>
      <c r="D129" s="10" t="n">
        <f aca="false">A129/$D$4</f>
        <v>6.83333333333333</v>
      </c>
      <c r="E129" s="11" t="n">
        <f aca="false">D129*'Karnataka Fuel Rates'!$C$9</f>
        <v>678.310833333333</v>
      </c>
    </row>
    <row r="130" customFormat="false" ht="15" hidden="false" customHeight="true" outlineLevel="0" collapsed="false">
      <c r="A130" s="1" t="n">
        <v>124</v>
      </c>
      <c r="B130" s="10" t="n">
        <f aca="false">A130/$B$4</f>
        <v>8.26666666666667</v>
      </c>
      <c r="C130" s="11" t="n">
        <f aca="false">B130*'Karnataka Fuel Rates'!$B$9</f>
        <v>920.307333333333</v>
      </c>
      <c r="D130" s="10" t="n">
        <f aca="false">A130/$D$4</f>
        <v>6.88888888888889</v>
      </c>
      <c r="E130" s="11" t="n">
        <f aca="false">D130*'Karnataka Fuel Rates'!$C$9</f>
        <v>683.825555555556</v>
      </c>
    </row>
    <row r="131" customFormat="false" ht="15" hidden="false" customHeight="true" outlineLevel="0" collapsed="false">
      <c r="A131" s="1" t="n">
        <v>125</v>
      </c>
      <c r="B131" s="10" t="n">
        <f aca="false">A131/$B$4</f>
        <v>8.33333333333333</v>
      </c>
      <c r="C131" s="11" t="n">
        <f aca="false">B131*'Karnataka Fuel Rates'!$B$9</f>
        <v>927.729166666667</v>
      </c>
      <c r="D131" s="10" t="n">
        <f aca="false">A131/$D$4</f>
        <v>6.94444444444445</v>
      </c>
      <c r="E131" s="11" t="n">
        <f aca="false">D131*'Karnataka Fuel Rates'!$C$9</f>
        <v>689.340277777778</v>
      </c>
    </row>
    <row r="132" customFormat="false" ht="15" hidden="false" customHeight="true" outlineLevel="0" collapsed="false">
      <c r="A132" s="1" t="n">
        <v>126</v>
      </c>
      <c r="B132" s="10" t="n">
        <f aca="false">A132/$B$4</f>
        <v>8.4</v>
      </c>
      <c r="C132" s="11" t="n">
        <f aca="false">B132*'Karnataka Fuel Rates'!$B$9</f>
        <v>935.151</v>
      </c>
      <c r="D132" s="10" t="n">
        <f aca="false">A132/$D$4</f>
        <v>7</v>
      </c>
      <c r="E132" s="11" t="n">
        <f aca="false">D132*'Karnataka Fuel Rates'!$C$9</f>
        <v>694.855</v>
      </c>
    </row>
    <row r="133" customFormat="false" ht="15" hidden="false" customHeight="true" outlineLevel="0" collapsed="false">
      <c r="A133" s="1" t="n">
        <v>127</v>
      </c>
      <c r="B133" s="10" t="n">
        <f aca="false">A133/$B$4</f>
        <v>8.46666666666667</v>
      </c>
      <c r="C133" s="11" t="n">
        <f aca="false">B133*'Karnataka Fuel Rates'!$B$9</f>
        <v>942.572833333333</v>
      </c>
      <c r="D133" s="10" t="n">
        <f aca="false">A133/$D$4</f>
        <v>7.05555555555556</v>
      </c>
      <c r="E133" s="11" t="n">
        <f aca="false">D133*'Karnataka Fuel Rates'!$C$9</f>
        <v>700.369722222222</v>
      </c>
    </row>
    <row r="134" customFormat="false" ht="15" hidden="false" customHeight="true" outlineLevel="0" collapsed="false">
      <c r="A134" s="1" t="n">
        <v>128</v>
      </c>
      <c r="B134" s="10" t="n">
        <f aca="false">A134/$B$4</f>
        <v>8.53333333333333</v>
      </c>
      <c r="C134" s="11" t="n">
        <f aca="false">B134*'Karnataka Fuel Rates'!$B$9</f>
        <v>949.994666666667</v>
      </c>
      <c r="D134" s="10" t="n">
        <f aca="false">A134/$D$4</f>
        <v>7.11111111111111</v>
      </c>
      <c r="E134" s="11" t="n">
        <f aca="false">D134*'Karnataka Fuel Rates'!$C$9</f>
        <v>705.884444444444</v>
      </c>
    </row>
    <row r="135" customFormat="false" ht="15" hidden="false" customHeight="true" outlineLevel="0" collapsed="false">
      <c r="A135" s="1" t="n">
        <v>129</v>
      </c>
      <c r="B135" s="10" t="n">
        <f aca="false">A135/$B$4</f>
        <v>8.6</v>
      </c>
      <c r="C135" s="11" t="n">
        <f aca="false">B135*'Karnataka Fuel Rates'!$B$9</f>
        <v>957.4165</v>
      </c>
      <c r="D135" s="10" t="n">
        <f aca="false">A135/$D$4</f>
        <v>7.16666666666667</v>
      </c>
      <c r="E135" s="11" t="n">
        <f aca="false">D135*'Karnataka Fuel Rates'!$C$9</f>
        <v>711.399166666667</v>
      </c>
    </row>
    <row r="136" customFormat="false" ht="15" hidden="false" customHeight="true" outlineLevel="0" collapsed="false">
      <c r="A136" s="1" t="n">
        <v>130</v>
      </c>
      <c r="B136" s="10" t="n">
        <f aca="false">A136/$B$4</f>
        <v>8.66666666666667</v>
      </c>
      <c r="C136" s="11" t="n">
        <f aca="false">B136*'Karnataka Fuel Rates'!$B$9</f>
        <v>964.838333333333</v>
      </c>
      <c r="D136" s="10" t="n">
        <f aca="false">A136/$D$4</f>
        <v>7.22222222222222</v>
      </c>
      <c r="E136" s="11" t="n">
        <f aca="false">D136*'Karnataka Fuel Rates'!$C$9</f>
        <v>716.913888888889</v>
      </c>
    </row>
    <row r="137" customFormat="false" ht="15" hidden="false" customHeight="true" outlineLevel="0" collapsed="false">
      <c r="A137" s="1" t="n">
        <v>131</v>
      </c>
      <c r="B137" s="10" t="n">
        <f aca="false">A137/$B$4</f>
        <v>8.73333333333333</v>
      </c>
      <c r="C137" s="11" t="n">
        <f aca="false">B137*'Karnataka Fuel Rates'!$B$9</f>
        <v>972.260166666667</v>
      </c>
      <c r="D137" s="10" t="n">
        <f aca="false">A137/$D$4</f>
        <v>7.27777777777778</v>
      </c>
      <c r="E137" s="11" t="n">
        <f aca="false">D137*'Karnataka Fuel Rates'!$C$9</f>
        <v>722.428611111111</v>
      </c>
    </row>
    <row r="138" customFormat="false" ht="15" hidden="false" customHeight="true" outlineLevel="0" collapsed="false">
      <c r="A138" s="1" t="n">
        <v>132</v>
      </c>
      <c r="B138" s="10" t="n">
        <f aca="false">A138/$B$4</f>
        <v>8.8</v>
      </c>
      <c r="C138" s="11" t="n">
        <f aca="false">B138*'Karnataka Fuel Rates'!$B$9</f>
        <v>979.682</v>
      </c>
      <c r="D138" s="10" t="n">
        <f aca="false">A138/$D$4</f>
        <v>7.33333333333333</v>
      </c>
      <c r="E138" s="11" t="n">
        <f aca="false">D138*'Karnataka Fuel Rates'!$C$9</f>
        <v>727.943333333333</v>
      </c>
    </row>
    <row r="139" customFormat="false" ht="15" hidden="false" customHeight="true" outlineLevel="0" collapsed="false">
      <c r="A139" s="1" t="n">
        <v>133</v>
      </c>
      <c r="B139" s="10" t="n">
        <f aca="false">A139/$B$4</f>
        <v>8.86666666666667</v>
      </c>
      <c r="C139" s="11" t="n">
        <f aca="false">B139*'Karnataka Fuel Rates'!$B$9</f>
        <v>987.103833333333</v>
      </c>
      <c r="D139" s="10" t="n">
        <f aca="false">A139/$D$4</f>
        <v>7.38888888888889</v>
      </c>
      <c r="E139" s="11" t="n">
        <f aca="false">D139*'Karnataka Fuel Rates'!$C$9</f>
        <v>733.458055555556</v>
      </c>
    </row>
    <row r="140" customFormat="false" ht="15" hidden="false" customHeight="true" outlineLevel="0" collapsed="false">
      <c r="A140" s="1" t="n">
        <v>134</v>
      </c>
      <c r="B140" s="10" t="n">
        <f aca="false">A140/$B$4</f>
        <v>8.93333333333333</v>
      </c>
      <c r="C140" s="11" t="n">
        <f aca="false">B140*'Karnataka Fuel Rates'!$B$9</f>
        <v>994.525666666667</v>
      </c>
      <c r="D140" s="10" t="n">
        <f aca="false">A140/$D$4</f>
        <v>7.44444444444445</v>
      </c>
      <c r="E140" s="11" t="n">
        <f aca="false">D140*'Karnataka Fuel Rates'!$C$9</f>
        <v>738.972777777778</v>
      </c>
    </row>
    <row r="141" customFormat="false" ht="15" hidden="false" customHeight="true" outlineLevel="0" collapsed="false">
      <c r="A141" s="1" t="n">
        <v>135</v>
      </c>
      <c r="B141" s="10" t="n">
        <f aca="false">A141/$B$4</f>
        <v>9</v>
      </c>
      <c r="C141" s="11" t="n">
        <f aca="false">B141*'Karnataka Fuel Rates'!$B$9</f>
        <v>1001.9475</v>
      </c>
      <c r="D141" s="10" t="n">
        <f aca="false">A141/$D$4</f>
        <v>7.5</v>
      </c>
      <c r="E141" s="11" t="n">
        <f aca="false">D141*'Karnataka Fuel Rates'!$C$9</f>
        <v>744.4875</v>
      </c>
    </row>
    <row r="142" customFormat="false" ht="15" hidden="false" customHeight="true" outlineLevel="0" collapsed="false">
      <c r="A142" s="1" t="n">
        <v>136</v>
      </c>
      <c r="B142" s="10" t="n">
        <f aca="false">A142/$B$4</f>
        <v>9.06666666666667</v>
      </c>
      <c r="C142" s="11" t="n">
        <f aca="false">B142*'Karnataka Fuel Rates'!$B$9</f>
        <v>1009.36933333333</v>
      </c>
      <c r="D142" s="10" t="n">
        <f aca="false">A142/$D$4</f>
        <v>7.55555555555556</v>
      </c>
      <c r="E142" s="11" t="n">
        <f aca="false">D142*'Karnataka Fuel Rates'!$C$9</f>
        <v>750.002222222222</v>
      </c>
    </row>
    <row r="143" customFormat="false" ht="15" hidden="false" customHeight="true" outlineLevel="0" collapsed="false">
      <c r="A143" s="1" t="n">
        <v>137</v>
      </c>
      <c r="B143" s="10" t="n">
        <f aca="false">A143/$B$4</f>
        <v>9.13333333333333</v>
      </c>
      <c r="C143" s="11" t="n">
        <f aca="false">B143*'Karnataka Fuel Rates'!$B$9</f>
        <v>1016.79116666667</v>
      </c>
      <c r="D143" s="10" t="n">
        <f aca="false">A143/$D$4</f>
        <v>7.61111111111111</v>
      </c>
      <c r="E143" s="11" t="n">
        <f aca="false">D143*'Karnataka Fuel Rates'!$C$9</f>
        <v>755.516944444444</v>
      </c>
    </row>
    <row r="144" customFormat="false" ht="15" hidden="false" customHeight="true" outlineLevel="0" collapsed="false">
      <c r="A144" s="1" t="n">
        <v>138</v>
      </c>
      <c r="B144" s="10" t="n">
        <f aca="false">A144/$B$4</f>
        <v>9.2</v>
      </c>
      <c r="C144" s="11" t="n">
        <f aca="false">B144*'Karnataka Fuel Rates'!$B$9</f>
        <v>1024.213</v>
      </c>
      <c r="D144" s="10" t="n">
        <f aca="false">A144/$D$4</f>
        <v>7.66666666666667</v>
      </c>
      <c r="E144" s="11" t="n">
        <f aca="false">D144*'Karnataka Fuel Rates'!$C$9</f>
        <v>761.031666666667</v>
      </c>
    </row>
    <row r="145" customFormat="false" ht="15" hidden="false" customHeight="true" outlineLevel="0" collapsed="false">
      <c r="A145" s="1" t="n">
        <v>139</v>
      </c>
      <c r="B145" s="10" t="n">
        <f aca="false">A145/$B$4</f>
        <v>9.26666666666667</v>
      </c>
      <c r="C145" s="11" t="n">
        <f aca="false">B145*'Karnataka Fuel Rates'!$B$9</f>
        <v>1031.63483333333</v>
      </c>
      <c r="D145" s="10" t="n">
        <f aca="false">A145/$D$4</f>
        <v>7.72222222222222</v>
      </c>
      <c r="E145" s="11" t="n">
        <f aca="false">D145*'Karnataka Fuel Rates'!$C$9</f>
        <v>766.546388888889</v>
      </c>
    </row>
    <row r="146" customFormat="false" ht="15" hidden="false" customHeight="true" outlineLevel="0" collapsed="false">
      <c r="A146" s="1" t="n">
        <v>140</v>
      </c>
      <c r="B146" s="10" t="n">
        <f aca="false">A146/$B$4</f>
        <v>9.33333333333333</v>
      </c>
      <c r="C146" s="11" t="n">
        <f aca="false">B146*'Karnataka Fuel Rates'!$B$9</f>
        <v>1039.05666666667</v>
      </c>
      <c r="D146" s="10" t="n">
        <f aca="false">A146/$D$4</f>
        <v>7.77777777777778</v>
      </c>
      <c r="E146" s="11" t="n">
        <f aca="false">D146*'Karnataka Fuel Rates'!$C$9</f>
        <v>772.061111111111</v>
      </c>
    </row>
    <row r="147" customFormat="false" ht="15" hidden="false" customHeight="true" outlineLevel="0" collapsed="false">
      <c r="A147" s="1" t="n">
        <v>141</v>
      </c>
      <c r="B147" s="10" t="n">
        <f aca="false">A147/$B$4</f>
        <v>9.4</v>
      </c>
      <c r="C147" s="11" t="n">
        <f aca="false">B147*'Karnataka Fuel Rates'!$B$9</f>
        <v>1046.4785</v>
      </c>
      <c r="D147" s="10" t="n">
        <f aca="false">A147/$D$4</f>
        <v>7.83333333333333</v>
      </c>
      <c r="E147" s="11" t="n">
        <f aca="false">D147*'Karnataka Fuel Rates'!$C$9</f>
        <v>777.575833333333</v>
      </c>
    </row>
    <row r="148" customFormat="false" ht="15" hidden="false" customHeight="true" outlineLevel="0" collapsed="false">
      <c r="A148" s="1" t="n">
        <v>142</v>
      </c>
      <c r="B148" s="10" t="n">
        <f aca="false">A148/$B$4</f>
        <v>9.46666666666667</v>
      </c>
      <c r="C148" s="11" t="n">
        <f aca="false">B148*'Karnataka Fuel Rates'!$B$9</f>
        <v>1053.90033333333</v>
      </c>
      <c r="D148" s="10" t="n">
        <f aca="false">A148/$D$4</f>
        <v>7.88888888888889</v>
      </c>
      <c r="E148" s="11" t="n">
        <f aca="false">D148*'Karnataka Fuel Rates'!$C$9</f>
        <v>783.090555555556</v>
      </c>
    </row>
    <row r="149" customFormat="false" ht="15" hidden="false" customHeight="true" outlineLevel="0" collapsed="false">
      <c r="A149" s="1" t="n">
        <v>143</v>
      </c>
      <c r="B149" s="10" t="n">
        <f aca="false">A149/$B$4</f>
        <v>9.53333333333333</v>
      </c>
      <c r="C149" s="11" t="n">
        <f aca="false">B149*'Karnataka Fuel Rates'!$B$9</f>
        <v>1061.32216666667</v>
      </c>
      <c r="D149" s="10" t="n">
        <f aca="false">A149/$D$4</f>
        <v>7.94444444444445</v>
      </c>
      <c r="E149" s="11" t="n">
        <f aca="false">D149*'Karnataka Fuel Rates'!$C$9</f>
        <v>788.605277777778</v>
      </c>
    </row>
    <row r="150" customFormat="false" ht="15" hidden="false" customHeight="true" outlineLevel="0" collapsed="false">
      <c r="A150" s="1" t="n">
        <v>144</v>
      </c>
      <c r="B150" s="10" t="n">
        <f aca="false">A150/$B$4</f>
        <v>9.6</v>
      </c>
      <c r="C150" s="11" t="n">
        <f aca="false">B150*'Karnataka Fuel Rates'!$B$9</f>
        <v>1068.744</v>
      </c>
      <c r="D150" s="10" t="n">
        <f aca="false">A150/$D$4</f>
        <v>8</v>
      </c>
      <c r="E150" s="11" t="n">
        <f aca="false">D150*'Karnataka Fuel Rates'!$C$9</f>
        <v>794.12</v>
      </c>
    </row>
    <row r="151" customFormat="false" ht="15" hidden="false" customHeight="true" outlineLevel="0" collapsed="false">
      <c r="A151" s="1" t="n">
        <v>145</v>
      </c>
      <c r="B151" s="10" t="n">
        <f aca="false">A151/$B$4</f>
        <v>9.66666666666667</v>
      </c>
      <c r="C151" s="11" t="n">
        <f aca="false">B151*'Karnataka Fuel Rates'!$B$9</f>
        <v>1076.16583333333</v>
      </c>
      <c r="D151" s="10" t="n">
        <f aca="false">A151/$D$4</f>
        <v>8.05555555555556</v>
      </c>
      <c r="E151" s="11" t="n">
        <f aca="false">D151*'Karnataka Fuel Rates'!$C$9</f>
        <v>799.634722222222</v>
      </c>
    </row>
    <row r="152" customFormat="false" ht="15" hidden="false" customHeight="true" outlineLevel="0" collapsed="false">
      <c r="A152" s="1" t="n">
        <v>146</v>
      </c>
      <c r="B152" s="10" t="n">
        <f aca="false">A152/$B$4</f>
        <v>9.73333333333333</v>
      </c>
      <c r="C152" s="11" t="n">
        <f aca="false">B152*'Karnataka Fuel Rates'!$B$9</f>
        <v>1083.58766666667</v>
      </c>
      <c r="D152" s="10" t="n">
        <f aca="false">A152/$D$4</f>
        <v>8.11111111111111</v>
      </c>
      <c r="E152" s="11" t="n">
        <f aca="false">D152*'Karnataka Fuel Rates'!$C$9</f>
        <v>805.149444444444</v>
      </c>
    </row>
    <row r="153" customFormat="false" ht="15" hidden="false" customHeight="true" outlineLevel="0" collapsed="false">
      <c r="A153" s="1" t="n">
        <v>147</v>
      </c>
      <c r="B153" s="10" t="n">
        <f aca="false">A153/$B$4</f>
        <v>9.8</v>
      </c>
      <c r="C153" s="11" t="n">
        <f aca="false">B153*'Karnataka Fuel Rates'!$B$9</f>
        <v>1091.0095</v>
      </c>
      <c r="D153" s="10" t="n">
        <f aca="false">A153/$D$4</f>
        <v>8.16666666666667</v>
      </c>
      <c r="E153" s="11" t="n">
        <f aca="false">D153*'Karnataka Fuel Rates'!$C$9</f>
        <v>810.664166666667</v>
      </c>
    </row>
    <row r="154" customFormat="false" ht="15" hidden="false" customHeight="true" outlineLevel="0" collapsed="false">
      <c r="A154" s="1" t="n">
        <v>148</v>
      </c>
      <c r="B154" s="10" t="n">
        <f aca="false">A154/$B$4</f>
        <v>9.86666666666667</v>
      </c>
      <c r="C154" s="11" t="n">
        <f aca="false">B154*'Karnataka Fuel Rates'!$B$9</f>
        <v>1098.43133333333</v>
      </c>
      <c r="D154" s="10" t="n">
        <f aca="false">A154/$D$4</f>
        <v>8.22222222222222</v>
      </c>
      <c r="E154" s="11" t="n">
        <f aca="false">D154*'Karnataka Fuel Rates'!$C$9</f>
        <v>816.178888888889</v>
      </c>
    </row>
    <row r="155" customFormat="false" ht="15" hidden="false" customHeight="true" outlineLevel="0" collapsed="false">
      <c r="A155" s="1" t="n">
        <v>149</v>
      </c>
      <c r="B155" s="10" t="n">
        <f aca="false">A155/$B$4</f>
        <v>9.93333333333333</v>
      </c>
      <c r="C155" s="11" t="n">
        <f aca="false">B155*'Karnataka Fuel Rates'!$B$9</f>
        <v>1105.85316666667</v>
      </c>
      <c r="D155" s="10" t="n">
        <f aca="false">A155/$D$4</f>
        <v>8.27777777777778</v>
      </c>
      <c r="E155" s="11" t="n">
        <f aca="false">D155*'Karnataka Fuel Rates'!$C$9</f>
        <v>821.693611111111</v>
      </c>
    </row>
    <row r="156" customFormat="false" ht="15" hidden="false" customHeight="true" outlineLevel="0" collapsed="false">
      <c r="A156" s="1" t="n">
        <v>150</v>
      </c>
      <c r="B156" s="10" t="n">
        <f aca="false">A156/$B$4</f>
        <v>10</v>
      </c>
      <c r="C156" s="11" t="n">
        <f aca="false">B156*'Karnataka Fuel Rates'!$B$9</f>
        <v>1113.275</v>
      </c>
      <c r="D156" s="10" t="n">
        <f aca="false">A156/$D$4</f>
        <v>8.33333333333333</v>
      </c>
      <c r="E156" s="11" t="n">
        <f aca="false">D156*'Karnataka Fuel Rates'!$C$9</f>
        <v>827.208333333333</v>
      </c>
    </row>
    <row r="157" customFormat="false" ht="15" hidden="false" customHeight="true" outlineLevel="0" collapsed="false">
      <c r="A157" s="1" t="n">
        <v>151</v>
      </c>
      <c r="B157" s="10" t="n">
        <f aca="false">A157/$B$4</f>
        <v>10.0666666666667</v>
      </c>
      <c r="C157" s="11" t="n">
        <f aca="false">B157*'Karnataka Fuel Rates'!$B$9</f>
        <v>1120.69683333333</v>
      </c>
      <c r="D157" s="10" t="n">
        <f aca="false">A157/$D$4</f>
        <v>8.38888888888889</v>
      </c>
      <c r="E157" s="11" t="n">
        <f aca="false">D157*'Karnataka Fuel Rates'!$C$9</f>
        <v>832.723055555556</v>
      </c>
    </row>
    <row r="158" customFormat="false" ht="15" hidden="false" customHeight="true" outlineLevel="0" collapsed="false">
      <c r="A158" s="1" t="n">
        <v>152</v>
      </c>
      <c r="B158" s="10" t="n">
        <f aca="false">A158/$B$4</f>
        <v>10.1333333333333</v>
      </c>
      <c r="C158" s="11" t="n">
        <f aca="false">B158*'Karnataka Fuel Rates'!$B$9</f>
        <v>1128.11866666667</v>
      </c>
      <c r="D158" s="10" t="n">
        <f aca="false">A158/$D$4</f>
        <v>8.44444444444445</v>
      </c>
      <c r="E158" s="11" t="n">
        <f aca="false">D158*'Karnataka Fuel Rates'!$C$9</f>
        <v>838.237777777778</v>
      </c>
    </row>
    <row r="159" customFormat="false" ht="15" hidden="false" customHeight="true" outlineLevel="0" collapsed="false">
      <c r="A159" s="1" t="n">
        <v>153</v>
      </c>
      <c r="B159" s="10" t="n">
        <f aca="false">A159/$B$4</f>
        <v>10.2</v>
      </c>
      <c r="C159" s="11" t="n">
        <f aca="false">B159*'Karnataka Fuel Rates'!$B$9</f>
        <v>1135.5405</v>
      </c>
      <c r="D159" s="10" t="n">
        <f aca="false">A159/$D$4</f>
        <v>8.5</v>
      </c>
      <c r="E159" s="11" t="n">
        <f aca="false">D159*'Karnataka Fuel Rates'!$C$9</f>
        <v>843.7525</v>
      </c>
    </row>
    <row r="160" customFormat="false" ht="15" hidden="false" customHeight="true" outlineLevel="0" collapsed="false">
      <c r="A160" s="1" t="n">
        <v>154</v>
      </c>
      <c r="B160" s="10" t="n">
        <f aca="false">A160/$B$4</f>
        <v>10.2666666666667</v>
      </c>
      <c r="C160" s="11" t="n">
        <f aca="false">B160*'Karnataka Fuel Rates'!$B$9</f>
        <v>1142.96233333333</v>
      </c>
      <c r="D160" s="10" t="n">
        <f aca="false">A160/$D$4</f>
        <v>8.55555555555556</v>
      </c>
      <c r="E160" s="11" t="n">
        <f aca="false">D160*'Karnataka Fuel Rates'!$C$9</f>
        <v>849.267222222222</v>
      </c>
    </row>
    <row r="161" customFormat="false" ht="15" hidden="false" customHeight="true" outlineLevel="0" collapsed="false">
      <c r="A161" s="1" t="n">
        <v>155</v>
      </c>
      <c r="B161" s="10" t="n">
        <f aca="false">A161/$B$4</f>
        <v>10.3333333333333</v>
      </c>
      <c r="C161" s="11" t="n">
        <f aca="false">B161*'Karnataka Fuel Rates'!$B$9</f>
        <v>1150.38416666667</v>
      </c>
      <c r="D161" s="10" t="n">
        <f aca="false">A161/$D$4</f>
        <v>8.61111111111111</v>
      </c>
      <c r="E161" s="11" t="n">
        <f aca="false">D161*'Karnataka Fuel Rates'!$C$9</f>
        <v>854.781944444444</v>
      </c>
    </row>
    <row r="162" customFormat="false" ht="15" hidden="false" customHeight="true" outlineLevel="0" collapsed="false">
      <c r="A162" s="1" t="n">
        <v>156</v>
      </c>
      <c r="B162" s="10" t="n">
        <f aca="false">A162/$B$4</f>
        <v>10.4</v>
      </c>
      <c r="C162" s="11" t="n">
        <f aca="false">B162*'Karnataka Fuel Rates'!$B$9</f>
        <v>1157.806</v>
      </c>
      <c r="D162" s="10" t="n">
        <f aca="false">A162/$D$4</f>
        <v>8.66666666666667</v>
      </c>
      <c r="E162" s="11" t="n">
        <f aca="false">D162*'Karnataka Fuel Rates'!$C$9</f>
        <v>860.296666666667</v>
      </c>
    </row>
    <row r="163" customFormat="false" ht="15" hidden="false" customHeight="true" outlineLevel="0" collapsed="false">
      <c r="A163" s="1" t="n">
        <v>157</v>
      </c>
      <c r="B163" s="10" t="n">
        <f aca="false">A163/$B$4</f>
        <v>10.4666666666667</v>
      </c>
      <c r="C163" s="11" t="n">
        <f aca="false">B163*'Karnataka Fuel Rates'!$B$9</f>
        <v>1165.22783333333</v>
      </c>
      <c r="D163" s="10" t="n">
        <f aca="false">A163/$D$4</f>
        <v>8.72222222222222</v>
      </c>
      <c r="E163" s="11" t="n">
        <f aca="false">D163*'Karnataka Fuel Rates'!$C$9</f>
        <v>865.811388888889</v>
      </c>
    </row>
    <row r="164" customFormat="false" ht="15" hidden="false" customHeight="true" outlineLevel="0" collapsed="false">
      <c r="A164" s="1" t="n">
        <v>158</v>
      </c>
      <c r="B164" s="10" t="n">
        <f aca="false">A164/$B$4</f>
        <v>10.5333333333333</v>
      </c>
      <c r="C164" s="11" t="n">
        <f aca="false">B164*'Karnataka Fuel Rates'!$B$9</f>
        <v>1172.64966666667</v>
      </c>
      <c r="D164" s="10" t="n">
        <f aca="false">A164/$D$4</f>
        <v>8.77777777777778</v>
      </c>
      <c r="E164" s="11" t="n">
        <f aca="false">D164*'Karnataka Fuel Rates'!$C$9</f>
        <v>871.326111111111</v>
      </c>
    </row>
    <row r="165" customFormat="false" ht="15" hidden="false" customHeight="true" outlineLevel="0" collapsed="false">
      <c r="A165" s="1" t="n">
        <v>159</v>
      </c>
      <c r="B165" s="10" t="n">
        <f aca="false">A165/$B$4</f>
        <v>10.6</v>
      </c>
      <c r="C165" s="11" t="n">
        <f aca="false">B165*'Karnataka Fuel Rates'!$B$9</f>
        <v>1180.0715</v>
      </c>
      <c r="D165" s="10" t="n">
        <f aca="false">A165/$D$4</f>
        <v>8.83333333333333</v>
      </c>
      <c r="E165" s="11" t="n">
        <f aca="false">D165*'Karnataka Fuel Rates'!$C$9</f>
        <v>876.840833333333</v>
      </c>
    </row>
    <row r="166" customFormat="false" ht="15" hidden="false" customHeight="true" outlineLevel="0" collapsed="false">
      <c r="A166" s="1" t="n">
        <v>160</v>
      </c>
      <c r="B166" s="10" t="n">
        <f aca="false">A166/$B$4</f>
        <v>10.6666666666667</v>
      </c>
      <c r="C166" s="11" t="n">
        <f aca="false">B166*'Karnataka Fuel Rates'!$B$9</f>
        <v>1187.49333333333</v>
      </c>
      <c r="D166" s="10" t="n">
        <f aca="false">A166/$D$4</f>
        <v>8.88888888888889</v>
      </c>
      <c r="E166" s="11" t="n">
        <f aca="false">D166*'Karnataka Fuel Rates'!$C$9</f>
        <v>882.355555555556</v>
      </c>
    </row>
    <row r="167" customFormat="false" ht="15" hidden="false" customHeight="true" outlineLevel="0" collapsed="false">
      <c r="A167" s="1" t="n">
        <v>161</v>
      </c>
      <c r="B167" s="10" t="n">
        <f aca="false">A167/$B$4</f>
        <v>10.7333333333333</v>
      </c>
      <c r="C167" s="11" t="n">
        <f aca="false">B167*'Karnataka Fuel Rates'!$B$9</f>
        <v>1194.91516666667</v>
      </c>
      <c r="D167" s="10" t="n">
        <f aca="false">A167/$D$4</f>
        <v>8.94444444444445</v>
      </c>
      <c r="E167" s="11" t="n">
        <f aca="false">D167*'Karnataka Fuel Rates'!$C$9</f>
        <v>887.870277777778</v>
      </c>
    </row>
    <row r="168" customFormat="false" ht="15" hidden="false" customHeight="true" outlineLevel="0" collapsed="false">
      <c r="A168" s="1" t="n">
        <v>162</v>
      </c>
      <c r="B168" s="10" t="n">
        <f aca="false">A168/$B$4</f>
        <v>10.8</v>
      </c>
      <c r="C168" s="11" t="n">
        <f aca="false">B168*'Karnataka Fuel Rates'!$B$9</f>
        <v>1202.337</v>
      </c>
      <c r="D168" s="10" t="n">
        <f aca="false">A168/$D$4</f>
        <v>9</v>
      </c>
      <c r="E168" s="11" t="n">
        <f aca="false">D168*'Karnataka Fuel Rates'!$C$9</f>
        <v>893.385</v>
      </c>
    </row>
    <row r="169" customFormat="false" ht="15" hidden="false" customHeight="true" outlineLevel="0" collapsed="false">
      <c r="A169" s="1" t="n">
        <v>163</v>
      </c>
      <c r="B169" s="10" t="n">
        <f aca="false">A169/$B$4</f>
        <v>10.8666666666667</v>
      </c>
      <c r="C169" s="11" t="n">
        <f aca="false">B169*'Karnataka Fuel Rates'!$B$9</f>
        <v>1209.75883333333</v>
      </c>
      <c r="D169" s="10" t="n">
        <f aca="false">A169/$D$4</f>
        <v>9.05555555555556</v>
      </c>
      <c r="E169" s="11" t="n">
        <f aca="false">D169*'Karnataka Fuel Rates'!$C$9</f>
        <v>898.899722222222</v>
      </c>
    </row>
    <row r="170" customFormat="false" ht="15" hidden="false" customHeight="true" outlineLevel="0" collapsed="false">
      <c r="A170" s="1" t="n">
        <v>164</v>
      </c>
      <c r="B170" s="10" t="n">
        <f aca="false">A170/$B$4</f>
        <v>10.9333333333333</v>
      </c>
      <c r="C170" s="11" t="n">
        <f aca="false">B170*'Karnataka Fuel Rates'!$B$9</f>
        <v>1217.18066666667</v>
      </c>
      <c r="D170" s="10" t="n">
        <f aca="false">A170/$D$4</f>
        <v>9.11111111111111</v>
      </c>
      <c r="E170" s="11" t="n">
        <f aca="false">D170*'Karnataka Fuel Rates'!$C$9</f>
        <v>904.414444444444</v>
      </c>
    </row>
    <row r="171" customFormat="false" ht="15" hidden="false" customHeight="true" outlineLevel="0" collapsed="false">
      <c r="A171" s="1" t="n">
        <v>165</v>
      </c>
      <c r="B171" s="10" t="n">
        <f aca="false">A171/$B$4</f>
        <v>11</v>
      </c>
      <c r="C171" s="11" t="n">
        <f aca="false">B171*'Karnataka Fuel Rates'!$B$9</f>
        <v>1224.6025</v>
      </c>
      <c r="D171" s="10" t="n">
        <f aca="false">A171/$D$4</f>
        <v>9.16666666666667</v>
      </c>
      <c r="E171" s="11" t="n">
        <f aca="false">D171*'Karnataka Fuel Rates'!$C$9</f>
        <v>909.929166666667</v>
      </c>
    </row>
    <row r="172" customFormat="false" ht="15" hidden="false" customHeight="true" outlineLevel="0" collapsed="false">
      <c r="A172" s="1" t="n">
        <v>166</v>
      </c>
      <c r="B172" s="10" t="n">
        <f aca="false">A172/$B$4</f>
        <v>11.0666666666667</v>
      </c>
      <c r="C172" s="11" t="n">
        <f aca="false">B172*'Karnataka Fuel Rates'!$B$9</f>
        <v>1232.02433333333</v>
      </c>
      <c r="D172" s="10" t="n">
        <f aca="false">A172/$D$4</f>
        <v>9.22222222222222</v>
      </c>
      <c r="E172" s="11" t="n">
        <f aca="false">D172*'Karnataka Fuel Rates'!$C$9</f>
        <v>915.443888888889</v>
      </c>
    </row>
    <row r="173" customFormat="false" ht="15" hidden="false" customHeight="true" outlineLevel="0" collapsed="false">
      <c r="A173" s="1" t="n">
        <v>167</v>
      </c>
      <c r="B173" s="10" t="n">
        <f aca="false">A173/$B$4</f>
        <v>11.1333333333333</v>
      </c>
      <c r="C173" s="11" t="n">
        <f aca="false">B173*'Karnataka Fuel Rates'!$B$9</f>
        <v>1239.44616666667</v>
      </c>
      <c r="D173" s="10" t="n">
        <f aca="false">A173/$D$4</f>
        <v>9.27777777777778</v>
      </c>
      <c r="E173" s="11" t="n">
        <f aca="false">D173*'Karnataka Fuel Rates'!$C$9</f>
        <v>920.958611111111</v>
      </c>
    </row>
    <row r="174" customFormat="false" ht="15" hidden="false" customHeight="true" outlineLevel="0" collapsed="false">
      <c r="A174" s="1" t="n">
        <v>168</v>
      </c>
      <c r="B174" s="10" t="n">
        <f aca="false">A174/$B$4</f>
        <v>11.2</v>
      </c>
      <c r="C174" s="11" t="n">
        <f aca="false">B174*'Karnataka Fuel Rates'!$B$9</f>
        <v>1246.868</v>
      </c>
      <c r="D174" s="10" t="n">
        <f aca="false">A174/$D$4</f>
        <v>9.33333333333333</v>
      </c>
      <c r="E174" s="11" t="n">
        <f aca="false">D174*'Karnataka Fuel Rates'!$C$9</f>
        <v>926.473333333333</v>
      </c>
    </row>
    <row r="175" customFormat="false" ht="15" hidden="false" customHeight="true" outlineLevel="0" collapsed="false">
      <c r="A175" s="1" t="n">
        <v>169</v>
      </c>
      <c r="B175" s="10" t="n">
        <f aca="false">A175/$B$4</f>
        <v>11.2666666666667</v>
      </c>
      <c r="C175" s="11" t="n">
        <f aca="false">B175*'Karnataka Fuel Rates'!$B$9</f>
        <v>1254.28983333333</v>
      </c>
      <c r="D175" s="10" t="n">
        <f aca="false">A175/$D$4</f>
        <v>9.38888888888889</v>
      </c>
      <c r="E175" s="11" t="n">
        <f aca="false">D175*'Karnataka Fuel Rates'!$C$9</f>
        <v>931.988055555556</v>
      </c>
    </row>
    <row r="176" customFormat="false" ht="15" hidden="false" customHeight="true" outlineLevel="0" collapsed="false">
      <c r="A176" s="1" t="n">
        <v>170</v>
      </c>
      <c r="B176" s="10" t="n">
        <f aca="false">A176/$B$4</f>
        <v>11.3333333333333</v>
      </c>
      <c r="C176" s="11" t="n">
        <f aca="false">B176*'Karnataka Fuel Rates'!$B$9</f>
        <v>1261.71166666667</v>
      </c>
      <c r="D176" s="10" t="n">
        <f aca="false">A176/$D$4</f>
        <v>9.44444444444445</v>
      </c>
      <c r="E176" s="11" t="n">
        <f aca="false">D176*'Karnataka Fuel Rates'!$C$9</f>
        <v>937.502777777778</v>
      </c>
    </row>
    <row r="177" customFormat="false" ht="15" hidden="false" customHeight="true" outlineLevel="0" collapsed="false">
      <c r="A177" s="1" t="n">
        <v>171</v>
      </c>
      <c r="B177" s="10" t="n">
        <f aca="false">A177/$B$4</f>
        <v>11.4</v>
      </c>
      <c r="C177" s="11" t="n">
        <f aca="false">B177*'Karnataka Fuel Rates'!$B$9</f>
        <v>1269.1335</v>
      </c>
      <c r="D177" s="10" t="n">
        <f aca="false">A177/$D$4</f>
        <v>9.5</v>
      </c>
      <c r="E177" s="11" t="n">
        <f aca="false">D177*'Karnataka Fuel Rates'!$C$9</f>
        <v>943.0175</v>
      </c>
    </row>
    <row r="178" customFormat="false" ht="15" hidden="false" customHeight="true" outlineLevel="0" collapsed="false">
      <c r="A178" s="1" t="n">
        <v>172</v>
      </c>
      <c r="B178" s="10" t="n">
        <f aca="false">A178/$B$4</f>
        <v>11.4666666666667</v>
      </c>
      <c r="C178" s="11" t="n">
        <f aca="false">B178*'Karnataka Fuel Rates'!$B$9</f>
        <v>1276.55533333333</v>
      </c>
      <c r="D178" s="10" t="n">
        <f aca="false">A178/$D$4</f>
        <v>9.55555555555556</v>
      </c>
      <c r="E178" s="11" t="n">
        <f aca="false">D178*'Karnataka Fuel Rates'!$C$9</f>
        <v>948.532222222222</v>
      </c>
    </row>
    <row r="179" customFormat="false" ht="15" hidden="false" customHeight="true" outlineLevel="0" collapsed="false">
      <c r="A179" s="1" t="n">
        <v>173</v>
      </c>
      <c r="B179" s="10" t="n">
        <f aca="false">A179/$B$4</f>
        <v>11.5333333333333</v>
      </c>
      <c r="C179" s="11" t="n">
        <f aca="false">B179*'Karnataka Fuel Rates'!$B$9</f>
        <v>1283.97716666667</v>
      </c>
      <c r="D179" s="10" t="n">
        <f aca="false">A179/$D$4</f>
        <v>9.61111111111111</v>
      </c>
      <c r="E179" s="11" t="n">
        <f aca="false">D179*'Karnataka Fuel Rates'!$C$9</f>
        <v>954.046944444444</v>
      </c>
    </row>
    <row r="180" customFormat="false" ht="15" hidden="false" customHeight="true" outlineLevel="0" collapsed="false">
      <c r="A180" s="1" t="n">
        <v>174</v>
      </c>
      <c r="B180" s="10" t="n">
        <f aca="false">A180/$B$4</f>
        <v>11.6</v>
      </c>
      <c r="C180" s="11" t="n">
        <f aca="false">B180*'Karnataka Fuel Rates'!$B$9</f>
        <v>1291.399</v>
      </c>
      <c r="D180" s="10" t="n">
        <f aca="false">A180/$D$4</f>
        <v>9.66666666666667</v>
      </c>
      <c r="E180" s="11" t="n">
        <f aca="false">D180*'Karnataka Fuel Rates'!$C$9</f>
        <v>959.561666666667</v>
      </c>
    </row>
    <row r="181" customFormat="false" ht="15" hidden="false" customHeight="true" outlineLevel="0" collapsed="false">
      <c r="A181" s="1" t="n">
        <v>175</v>
      </c>
      <c r="B181" s="10" t="n">
        <f aca="false">A181/$B$4</f>
        <v>11.6666666666667</v>
      </c>
      <c r="C181" s="11" t="n">
        <f aca="false">B181*'Karnataka Fuel Rates'!$B$9</f>
        <v>1298.82083333333</v>
      </c>
      <c r="D181" s="10" t="n">
        <f aca="false">A181/$D$4</f>
        <v>9.72222222222222</v>
      </c>
      <c r="E181" s="11" t="n">
        <f aca="false">D181*'Karnataka Fuel Rates'!$C$9</f>
        <v>965.076388888889</v>
      </c>
    </row>
    <row r="182" customFormat="false" ht="15" hidden="false" customHeight="true" outlineLevel="0" collapsed="false">
      <c r="A182" s="1" t="n">
        <v>176</v>
      </c>
      <c r="B182" s="10" t="n">
        <f aca="false">A182/$B$4</f>
        <v>11.7333333333333</v>
      </c>
      <c r="C182" s="11" t="n">
        <f aca="false">B182*'Karnataka Fuel Rates'!$B$9</f>
        <v>1306.24266666667</v>
      </c>
      <c r="D182" s="10" t="n">
        <f aca="false">A182/$D$4</f>
        <v>9.77777777777778</v>
      </c>
      <c r="E182" s="11" t="n">
        <f aca="false">D182*'Karnataka Fuel Rates'!$C$9</f>
        <v>970.591111111111</v>
      </c>
    </row>
    <row r="183" customFormat="false" ht="15" hidden="false" customHeight="true" outlineLevel="0" collapsed="false">
      <c r="A183" s="1" t="n">
        <v>177</v>
      </c>
      <c r="B183" s="10" t="n">
        <f aca="false">A183/$B$4</f>
        <v>11.8</v>
      </c>
      <c r="C183" s="11" t="n">
        <f aca="false">B183*'Karnataka Fuel Rates'!$B$9</f>
        <v>1313.6645</v>
      </c>
      <c r="D183" s="10" t="n">
        <f aca="false">A183/$D$4</f>
        <v>9.83333333333333</v>
      </c>
      <c r="E183" s="11" t="n">
        <f aca="false">D183*'Karnataka Fuel Rates'!$C$9</f>
        <v>976.105833333333</v>
      </c>
    </row>
    <row r="184" customFormat="false" ht="15" hidden="false" customHeight="true" outlineLevel="0" collapsed="false">
      <c r="A184" s="1" t="n">
        <v>178</v>
      </c>
      <c r="B184" s="10" t="n">
        <f aca="false">A184/$B$4</f>
        <v>11.8666666666667</v>
      </c>
      <c r="C184" s="11" t="n">
        <f aca="false">B184*'Karnataka Fuel Rates'!$B$9</f>
        <v>1321.08633333333</v>
      </c>
      <c r="D184" s="10" t="n">
        <f aca="false">A184/$D$4</f>
        <v>9.88888888888889</v>
      </c>
      <c r="E184" s="11" t="n">
        <f aca="false">D184*'Karnataka Fuel Rates'!$C$9</f>
        <v>981.620555555556</v>
      </c>
    </row>
    <row r="185" customFormat="false" ht="15" hidden="false" customHeight="true" outlineLevel="0" collapsed="false">
      <c r="A185" s="1" t="n">
        <v>179</v>
      </c>
      <c r="B185" s="10" t="n">
        <f aca="false">A185/$B$4</f>
        <v>11.9333333333333</v>
      </c>
      <c r="C185" s="11" t="n">
        <f aca="false">B185*'Karnataka Fuel Rates'!$B$9</f>
        <v>1328.50816666667</v>
      </c>
      <c r="D185" s="10" t="n">
        <f aca="false">A185/$D$4</f>
        <v>9.94444444444445</v>
      </c>
      <c r="E185" s="11" t="n">
        <f aca="false">D185*'Karnataka Fuel Rates'!$C$9</f>
        <v>987.135277777778</v>
      </c>
    </row>
    <row r="186" customFormat="false" ht="15" hidden="false" customHeight="true" outlineLevel="0" collapsed="false">
      <c r="A186" s="1" t="n">
        <v>180</v>
      </c>
      <c r="B186" s="10" t="n">
        <f aca="false">A186/$B$4</f>
        <v>12</v>
      </c>
      <c r="C186" s="11" t="n">
        <f aca="false">B186*'Karnataka Fuel Rates'!$B$9</f>
        <v>1335.93</v>
      </c>
      <c r="D186" s="10" t="n">
        <f aca="false">A186/$D$4</f>
        <v>10</v>
      </c>
      <c r="E186" s="11" t="n">
        <f aca="false">D186*'Karnataka Fuel Rates'!$C$9</f>
        <v>992.65</v>
      </c>
    </row>
    <row r="187" customFormat="false" ht="15" hidden="false" customHeight="true" outlineLevel="0" collapsed="false">
      <c r="A187" s="1" t="n">
        <v>181</v>
      </c>
      <c r="B187" s="10" t="n">
        <f aca="false">A187/$B$4</f>
        <v>12.0666666666667</v>
      </c>
      <c r="C187" s="11" t="n">
        <f aca="false">B187*'Karnataka Fuel Rates'!$B$9</f>
        <v>1343.35183333333</v>
      </c>
      <c r="D187" s="10" t="n">
        <f aca="false">A187/$D$4</f>
        <v>10.0555555555556</v>
      </c>
      <c r="E187" s="11" t="n">
        <f aca="false">D187*'Karnataka Fuel Rates'!$C$9</f>
        <v>998.164722222222</v>
      </c>
    </row>
    <row r="188" customFormat="false" ht="15" hidden="false" customHeight="true" outlineLevel="0" collapsed="false">
      <c r="A188" s="1" t="n">
        <v>182</v>
      </c>
      <c r="B188" s="10" t="n">
        <f aca="false">A188/$B$4</f>
        <v>12.1333333333333</v>
      </c>
      <c r="C188" s="11" t="n">
        <f aca="false">B188*'Karnataka Fuel Rates'!$B$9</f>
        <v>1350.77366666667</v>
      </c>
      <c r="D188" s="10" t="n">
        <f aca="false">A188/$D$4</f>
        <v>10.1111111111111</v>
      </c>
      <c r="E188" s="11" t="n">
        <f aca="false">D188*'Karnataka Fuel Rates'!$C$9</f>
        <v>1003.67944444444</v>
      </c>
    </row>
    <row r="189" customFormat="false" ht="15" hidden="false" customHeight="true" outlineLevel="0" collapsed="false">
      <c r="A189" s="1" t="n">
        <v>183</v>
      </c>
      <c r="B189" s="10" t="n">
        <f aca="false">A189/$B$4</f>
        <v>12.2</v>
      </c>
      <c r="C189" s="11" t="n">
        <f aca="false">B189*'Karnataka Fuel Rates'!$B$9</f>
        <v>1358.1955</v>
      </c>
      <c r="D189" s="10" t="n">
        <f aca="false">A189/$D$4</f>
        <v>10.1666666666667</v>
      </c>
      <c r="E189" s="11" t="n">
        <f aca="false">D189*'Karnataka Fuel Rates'!$C$9</f>
        <v>1009.19416666667</v>
      </c>
    </row>
    <row r="190" customFormat="false" ht="15" hidden="false" customHeight="true" outlineLevel="0" collapsed="false">
      <c r="A190" s="1" t="n">
        <v>184</v>
      </c>
      <c r="B190" s="10" t="n">
        <f aca="false">A190/$B$4</f>
        <v>12.2666666666667</v>
      </c>
      <c r="C190" s="11" t="n">
        <f aca="false">B190*'Karnataka Fuel Rates'!$B$9</f>
        <v>1365.61733333333</v>
      </c>
      <c r="D190" s="10" t="n">
        <f aca="false">A190/$D$4</f>
        <v>10.2222222222222</v>
      </c>
      <c r="E190" s="11" t="n">
        <f aca="false">D190*'Karnataka Fuel Rates'!$C$9</f>
        <v>1014.70888888889</v>
      </c>
    </row>
    <row r="191" customFormat="false" ht="15" hidden="false" customHeight="true" outlineLevel="0" collapsed="false">
      <c r="A191" s="1" t="n">
        <v>185</v>
      </c>
      <c r="B191" s="10" t="n">
        <f aca="false">A191/$B$4</f>
        <v>12.3333333333333</v>
      </c>
      <c r="C191" s="11" t="n">
        <f aca="false">B191*'Karnataka Fuel Rates'!$B$9</f>
        <v>1373.03916666667</v>
      </c>
      <c r="D191" s="10" t="n">
        <f aca="false">A191/$D$4</f>
        <v>10.2777777777778</v>
      </c>
      <c r="E191" s="11" t="n">
        <f aca="false">D191*'Karnataka Fuel Rates'!$C$9</f>
        <v>1020.22361111111</v>
      </c>
    </row>
    <row r="192" customFormat="false" ht="15" hidden="false" customHeight="true" outlineLevel="0" collapsed="false">
      <c r="A192" s="1" t="n">
        <v>186</v>
      </c>
      <c r="B192" s="10" t="n">
        <f aca="false">A192/$B$4</f>
        <v>12.4</v>
      </c>
      <c r="C192" s="11" t="n">
        <f aca="false">B192*'Karnataka Fuel Rates'!$B$9</f>
        <v>1380.461</v>
      </c>
      <c r="D192" s="10" t="n">
        <f aca="false">A192/$D$4</f>
        <v>10.3333333333333</v>
      </c>
      <c r="E192" s="11" t="n">
        <f aca="false">D192*'Karnataka Fuel Rates'!$C$9</f>
        <v>1025.73833333333</v>
      </c>
    </row>
    <row r="193" customFormat="false" ht="15" hidden="false" customHeight="true" outlineLevel="0" collapsed="false">
      <c r="A193" s="1" t="n">
        <v>187</v>
      </c>
      <c r="B193" s="10" t="n">
        <f aca="false">A193/$B$4</f>
        <v>12.4666666666667</v>
      </c>
      <c r="C193" s="11" t="n">
        <f aca="false">B193*'Karnataka Fuel Rates'!$B$9</f>
        <v>1387.88283333333</v>
      </c>
      <c r="D193" s="10" t="n">
        <f aca="false">A193/$D$4</f>
        <v>10.3888888888889</v>
      </c>
      <c r="E193" s="11" t="n">
        <f aca="false">D193*'Karnataka Fuel Rates'!$C$9</f>
        <v>1031.25305555556</v>
      </c>
    </row>
    <row r="194" customFormat="false" ht="15" hidden="false" customHeight="true" outlineLevel="0" collapsed="false">
      <c r="A194" s="1" t="n">
        <v>188</v>
      </c>
      <c r="B194" s="10" t="n">
        <f aca="false">A194/$B$4</f>
        <v>12.5333333333333</v>
      </c>
      <c r="C194" s="11" t="n">
        <f aca="false">B194*'Karnataka Fuel Rates'!$B$9</f>
        <v>1395.30466666667</v>
      </c>
      <c r="D194" s="10" t="n">
        <f aca="false">A194/$D$4</f>
        <v>10.4444444444444</v>
      </c>
      <c r="E194" s="11" t="n">
        <f aca="false">D194*'Karnataka Fuel Rates'!$C$9</f>
        <v>1036.76777777778</v>
      </c>
    </row>
    <row r="195" customFormat="false" ht="15" hidden="false" customHeight="true" outlineLevel="0" collapsed="false">
      <c r="A195" s="1" t="n">
        <v>189</v>
      </c>
      <c r="B195" s="10" t="n">
        <f aca="false">A195/$B$4</f>
        <v>12.6</v>
      </c>
      <c r="C195" s="11" t="n">
        <f aca="false">B195*'Karnataka Fuel Rates'!$B$9</f>
        <v>1402.7265</v>
      </c>
      <c r="D195" s="10" t="n">
        <f aca="false">A195/$D$4</f>
        <v>10.5</v>
      </c>
      <c r="E195" s="11" t="n">
        <f aca="false">D195*'Karnataka Fuel Rates'!$C$9</f>
        <v>1042.2825</v>
      </c>
    </row>
    <row r="196" customFormat="false" ht="15" hidden="false" customHeight="true" outlineLevel="0" collapsed="false">
      <c r="A196" s="1" t="n">
        <v>190</v>
      </c>
      <c r="B196" s="10" t="n">
        <f aca="false">A196/$B$4</f>
        <v>12.6666666666667</v>
      </c>
      <c r="C196" s="11" t="n">
        <f aca="false">B196*'Karnataka Fuel Rates'!$B$9</f>
        <v>1410.14833333333</v>
      </c>
      <c r="D196" s="10" t="n">
        <f aca="false">A196/$D$4</f>
        <v>10.5555555555556</v>
      </c>
      <c r="E196" s="11" t="n">
        <f aca="false">D196*'Karnataka Fuel Rates'!$C$9</f>
        <v>1047.79722222222</v>
      </c>
    </row>
    <row r="197" customFormat="false" ht="15" hidden="false" customHeight="true" outlineLevel="0" collapsed="false">
      <c r="A197" s="1" t="n">
        <v>191</v>
      </c>
      <c r="B197" s="10" t="n">
        <f aca="false">A197/$B$4</f>
        <v>12.7333333333333</v>
      </c>
      <c r="C197" s="11" t="n">
        <f aca="false">B197*'Karnataka Fuel Rates'!$B$9</f>
        <v>1417.57016666667</v>
      </c>
      <c r="D197" s="10" t="n">
        <f aca="false">A197/$D$4</f>
        <v>10.6111111111111</v>
      </c>
      <c r="E197" s="11" t="n">
        <f aca="false">D197*'Karnataka Fuel Rates'!$C$9</f>
        <v>1053.31194444444</v>
      </c>
    </row>
    <row r="198" customFormat="false" ht="15" hidden="false" customHeight="true" outlineLevel="0" collapsed="false">
      <c r="A198" s="1" t="n">
        <v>192</v>
      </c>
      <c r="B198" s="10" t="n">
        <f aca="false">A198/$B$4</f>
        <v>12.8</v>
      </c>
      <c r="C198" s="11" t="n">
        <f aca="false">B198*'Karnataka Fuel Rates'!$B$9</f>
        <v>1424.992</v>
      </c>
      <c r="D198" s="10" t="n">
        <f aca="false">A198/$D$4</f>
        <v>10.6666666666667</v>
      </c>
      <c r="E198" s="11" t="n">
        <f aca="false">D198*'Karnataka Fuel Rates'!$C$9</f>
        <v>1058.82666666667</v>
      </c>
    </row>
    <row r="199" customFormat="false" ht="15" hidden="false" customHeight="true" outlineLevel="0" collapsed="false">
      <c r="A199" s="1" t="n">
        <v>193</v>
      </c>
      <c r="B199" s="10" t="n">
        <f aca="false">A199/$B$4</f>
        <v>12.8666666666667</v>
      </c>
      <c r="C199" s="11" t="n">
        <f aca="false">B199*'Karnataka Fuel Rates'!$B$9</f>
        <v>1432.41383333333</v>
      </c>
      <c r="D199" s="10" t="n">
        <f aca="false">A199/$D$4</f>
        <v>10.7222222222222</v>
      </c>
      <c r="E199" s="11" t="n">
        <f aca="false">D199*'Karnataka Fuel Rates'!$C$9</f>
        <v>1064.34138888889</v>
      </c>
    </row>
    <row r="200" customFormat="false" ht="15" hidden="false" customHeight="true" outlineLevel="0" collapsed="false">
      <c r="A200" s="1" t="n">
        <v>194</v>
      </c>
      <c r="B200" s="10" t="n">
        <f aca="false">A200/$B$4</f>
        <v>12.9333333333333</v>
      </c>
      <c r="C200" s="11" t="n">
        <f aca="false">B200*'Karnataka Fuel Rates'!$B$9</f>
        <v>1439.83566666667</v>
      </c>
      <c r="D200" s="10" t="n">
        <f aca="false">A200/$D$4</f>
        <v>10.7777777777778</v>
      </c>
      <c r="E200" s="11" t="n">
        <f aca="false">D200*'Karnataka Fuel Rates'!$C$9</f>
        <v>1069.85611111111</v>
      </c>
    </row>
    <row r="201" customFormat="false" ht="15" hidden="false" customHeight="true" outlineLevel="0" collapsed="false">
      <c r="A201" s="1" t="n">
        <v>195</v>
      </c>
      <c r="B201" s="10" t="n">
        <f aca="false">A201/$B$4</f>
        <v>13</v>
      </c>
      <c r="C201" s="11" t="n">
        <f aca="false">B201*'Karnataka Fuel Rates'!$B$9</f>
        <v>1447.2575</v>
      </c>
      <c r="D201" s="10" t="n">
        <f aca="false">A201/$D$4</f>
        <v>10.8333333333333</v>
      </c>
      <c r="E201" s="11" t="n">
        <f aca="false">D201*'Karnataka Fuel Rates'!$C$9</f>
        <v>1075.37083333333</v>
      </c>
    </row>
    <row r="202" customFormat="false" ht="15" hidden="false" customHeight="true" outlineLevel="0" collapsed="false">
      <c r="A202" s="1" t="n">
        <v>196</v>
      </c>
      <c r="B202" s="10" t="n">
        <f aca="false">A202/$B$4</f>
        <v>13.0666666666667</v>
      </c>
      <c r="C202" s="11" t="n">
        <f aca="false">B202*'Karnataka Fuel Rates'!$B$9</f>
        <v>1454.67933333333</v>
      </c>
      <c r="D202" s="10" t="n">
        <f aca="false">A202/$D$4</f>
        <v>10.8888888888889</v>
      </c>
      <c r="E202" s="11" t="n">
        <f aca="false">D202*'Karnataka Fuel Rates'!$C$9</f>
        <v>1080.88555555556</v>
      </c>
    </row>
    <row r="203" customFormat="false" ht="15" hidden="false" customHeight="true" outlineLevel="0" collapsed="false">
      <c r="A203" s="1" t="n">
        <v>197</v>
      </c>
      <c r="B203" s="10" t="n">
        <f aca="false">A203/$B$4</f>
        <v>13.1333333333333</v>
      </c>
      <c r="C203" s="11" t="n">
        <f aca="false">B203*'Karnataka Fuel Rates'!$B$9</f>
        <v>1462.10116666667</v>
      </c>
      <c r="D203" s="10" t="n">
        <f aca="false">A203/$D$4</f>
        <v>10.9444444444444</v>
      </c>
      <c r="E203" s="11" t="n">
        <f aca="false">D203*'Karnataka Fuel Rates'!$C$9</f>
        <v>1086.40027777778</v>
      </c>
    </row>
    <row r="204" customFormat="false" ht="15" hidden="false" customHeight="true" outlineLevel="0" collapsed="false">
      <c r="A204" s="1" t="n">
        <v>198</v>
      </c>
      <c r="B204" s="10" t="n">
        <f aca="false">A204/$B$4</f>
        <v>13.2</v>
      </c>
      <c r="C204" s="11" t="n">
        <f aca="false">B204*'Karnataka Fuel Rates'!$B$9</f>
        <v>1469.523</v>
      </c>
      <c r="D204" s="10" t="n">
        <f aca="false">A204/$D$4</f>
        <v>11</v>
      </c>
      <c r="E204" s="11" t="n">
        <f aca="false">D204*'Karnataka Fuel Rates'!$C$9</f>
        <v>1091.915</v>
      </c>
    </row>
    <row r="205" customFormat="false" ht="15" hidden="false" customHeight="true" outlineLevel="0" collapsed="false">
      <c r="A205" s="1" t="n">
        <v>199</v>
      </c>
      <c r="B205" s="10" t="n">
        <f aca="false">A205/$B$4</f>
        <v>13.2666666666667</v>
      </c>
      <c r="C205" s="11" t="n">
        <f aca="false">B205*'Karnataka Fuel Rates'!$B$9</f>
        <v>1476.94483333333</v>
      </c>
      <c r="D205" s="10" t="n">
        <f aca="false">A205/$D$4</f>
        <v>11.0555555555556</v>
      </c>
      <c r="E205" s="11" t="n">
        <f aca="false">D205*'Karnataka Fuel Rates'!$C$9</f>
        <v>1097.42972222222</v>
      </c>
    </row>
    <row r="206" customFormat="false" ht="15" hidden="false" customHeight="true" outlineLevel="0" collapsed="false">
      <c r="A206" s="1" t="n">
        <v>200</v>
      </c>
      <c r="B206" s="10" t="n">
        <f aca="false">A206/$B$4</f>
        <v>13.3333333333333</v>
      </c>
      <c r="C206" s="11" t="n">
        <f aca="false">B206*'Karnataka Fuel Rates'!$B$9</f>
        <v>1484.36666666667</v>
      </c>
      <c r="D206" s="10" t="n">
        <f aca="false">A206/$D$4</f>
        <v>11.1111111111111</v>
      </c>
      <c r="E206" s="11" t="n">
        <f aca="false">D206*'Karnataka Fuel Rates'!$C$9</f>
        <v>1102.94444444444</v>
      </c>
    </row>
    <row r="207" customFormat="false" ht="15" hidden="false" customHeight="true" outlineLevel="0" collapsed="false">
      <c r="A207" s="1" t="n">
        <v>201</v>
      </c>
      <c r="B207" s="10" t="n">
        <f aca="false">A207/$B$4</f>
        <v>13.4</v>
      </c>
      <c r="C207" s="11" t="n">
        <f aca="false">B207*'Karnataka Fuel Rates'!$B$9</f>
        <v>1491.7885</v>
      </c>
      <c r="D207" s="10" t="n">
        <f aca="false">A207/$D$4</f>
        <v>11.1666666666667</v>
      </c>
      <c r="E207" s="11" t="n">
        <f aca="false">D207*'Karnataka Fuel Rates'!$C$9</f>
        <v>1108.45916666667</v>
      </c>
    </row>
    <row r="208" customFormat="false" ht="15" hidden="false" customHeight="true" outlineLevel="0" collapsed="false">
      <c r="A208" s="1" t="n">
        <v>202</v>
      </c>
      <c r="B208" s="10" t="n">
        <f aca="false">A208/$B$4</f>
        <v>13.4666666666667</v>
      </c>
      <c r="C208" s="11" t="n">
        <f aca="false">B208*'Karnataka Fuel Rates'!$B$9</f>
        <v>1499.21033333333</v>
      </c>
      <c r="D208" s="10" t="n">
        <f aca="false">A208/$D$4</f>
        <v>11.2222222222222</v>
      </c>
      <c r="E208" s="11" t="n">
        <f aca="false">D208*'Karnataka Fuel Rates'!$C$9</f>
        <v>1113.97388888889</v>
      </c>
    </row>
    <row r="209" customFormat="false" ht="15" hidden="false" customHeight="true" outlineLevel="0" collapsed="false">
      <c r="A209" s="1" t="n">
        <v>203</v>
      </c>
      <c r="B209" s="10" t="n">
        <f aca="false">A209/$B$4</f>
        <v>13.5333333333333</v>
      </c>
      <c r="C209" s="11" t="n">
        <f aca="false">B209*'Karnataka Fuel Rates'!$B$9</f>
        <v>1506.63216666667</v>
      </c>
      <c r="D209" s="10" t="n">
        <f aca="false">A209/$D$4</f>
        <v>11.2777777777778</v>
      </c>
      <c r="E209" s="11" t="n">
        <f aca="false">D209*'Karnataka Fuel Rates'!$C$9</f>
        <v>1119.48861111111</v>
      </c>
    </row>
    <row r="210" customFormat="false" ht="15" hidden="false" customHeight="true" outlineLevel="0" collapsed="false">
      <c r="A210" s="1" t="n">
        <v>204</v>
      </c>
      <c r="B210" s="10" t="n">
        <f aca="false">A210/$B$4</f>
        <v>13.6</v>
      </c>
      <c r="C210" s="11" t="n">
        <f aca="false">B210*'Karnataka Fuel Rates'!$B$9</f>
        <v>1514.054</v>
      </c>
      <c r="D210" s="10" t="n">
        <f aca="false">A210/$D$4</f>
        <v>11.3333333333333</v>
      </c>
      <c r="E210" s="11" t="n">
        <f aca="false">D210*'Karnataka Fuel Rates'!$C$9</f>
        <v>1125.00333333333</v>
      </c>
    </row>
    <row r="211" customFormat="false" ht="15" hidden="false" customHeight="true" outlineLevel="0" collapsed="false">
      <c r="A211" s="1" t="n">
        <v>205</v>
      </c>
      <c r="B211" s="10" t="n">
        <f aca="false">A211/$B$4</f>
        <v>13.6666666666667</v>
      </c>
      <c r="C211" s="11" t="n">
        <f aca="false">B211*'Karnataka Fuel Rates'!$B$9</f>
        <v>1521.47583333333</v>
      </c>
      <c r="D211" s="10" t="n">
        <f aca="false">A211/$D$4</f>
        <v>11.3888888888889</v>
      </c>
      <c r="E211" s="11" t="n">
        <f aca="false">D211*'Karnataka Fuel Rates'!$C$9</f>
        <v>1130.51805555556</v>
      </c>
    </row>
    <row r="212" customFormat="false" ht="15" hidden="false" customHeight="true" outlineLevel="0" collapsed="false">
      <c r="A212" s="1" t="n">
        <v>206</v>
      </c>
      <c r="B212" s="10" t="n">
        <f aca="false">A212/$B$4</f>
        <v>13.7333333333333</v>
      </c>
      <c r="C212" s="11" t="n">
        <f aca="false">B212*'Karnataka Fuel Rates'!$B$9</f>
        <v>1528.89766666667</v>
      </c>
      <c r="D212" s="10" t="n">
        <f aca="false">A212/$D$4</f>
        <v>11.4444444444444</v>
      </c>
      <c r="E212" s="11" t="n">
        <f aca="false">D212*'Karnataka Fuel Rates'!$C$9</f>
        <v>1136.03277777778</v>
      </c>
    </row>
    <row r="213" customFormat="false" ht="15" hidden="false" customHeight="true" outlineLevel="0" collapsed="false">
      <c r="A213" s="1" t="n">
        <v>207</v>
      </c>
      <c r="B213" s="10" t="n">
        <f aca="false">A213/$B$4</f>
        <v>13.8</v>
      </c>
      <c r="C213" s="11" t="n">
        <f aca="false">B213*'Karnataka Fuel Rates'!$B$9</f>
        <v>1536.3195</v>
      </c>
      <c r="D213" s="10" t="n">
        <f aca="false">A213/$D$4</f>
        <v>11.5</v>
      </c>
      <c r="E213" s="11" t="n">
        <f aca="false">D213*'Karnataka Fuel Rates'!$C$9</f>
        <v>1141.5475</v>
      </c>
    </row>
    <row r="214" customFormat="false" ht="15" hidden="false" customHeight="true" outlineLevel="0" collapsed="false">
      <c r="A214" s="1" t="n">
        <v>208</v>
      </c>
      <c r="B214" s="10" t="n">
        <f aca="false">A214/$B$4</f>
        <v>13.8666666666667</v>
      </c>
      <c r="C214" s="11" t="n">
        <f aca="false">B214*'Karnataka Fuel Rates'!$B$9</f>
        <v>1543.74133333333</v>
      </c>
      <c r="D214" s="10" t="n">
        <f aca="false">A214/$D$4</f>
        <v>11.5555555555556</v>
      </c>
      <c r="E214" s="11" t="n">
        <f aca="false">D214*'Karnataka Fuel Rates'!$C$9</f>
        <v>1147.06222222222</v>
      </c>
    </row>
    <row r="215" customFormat="false" ht="15" hidden="false" customHeight="true" outlineLevel="0" collapsed="false">
      <c r="A215" s="1" t="n">
        <v>209</v>
      </c>
      <c r="B215" s="10" t="n">
        <f aca="false">A215/$B$4</f>
        <v>13.9333333333333</v>
      </c>
      <c r="C215" s="11" t="n">
        <f aca="false">B215*'Karnataka Fuel Rates'!$B$9</f>
        <v>1551.16316666667</v>
      </c>
      <c r="D215" s="10" t="n">
        <f aca="false">A215/$D$4</f>
        <v>11.6111111111111</v>
      </c>
      <c r="E215" s="11" t="n">
        <f aca="false">D215*'Karnataka Fuel Rates'!$C$9</f>
        <v>1152.57694444444</v>
      </c>
    </row>
    <row r="216" customFormat="false" ht="15" hidden="false" customHeight="true" outlineLevel="0" collapsed="false">
      <c r="A216" s="1" t="n">
        <v>210</v>
      </c>
      <c r="B216" s="10" t="n">
        <f aca="false">A216/$B$4</f>
        <v>14</v>
      </c>
      <c r="C216" s="11" t="n">
        <f aca="false">B216*'Karnataka Fuel Rates'!$B$9</f>
        <v>1558.585</v>
      </c>
      <c r="D216" s="10" t="n">
        <f aca="false">A216/$D$4</f>
        <v>11.6666666666667</v>
      </c>
      <c r="E216" s="11" t="n">
        <f aca="false">D216*'Karnataka Fuel Rates'!$C$9</f>
        <v>1158.09166666667</v>
      </c>
    </row>
    <row r="217" customFormat="false" ht="15" hidden="false" customHeight="true" outlineLevel="0" collapsed="false">
      <c r="A217" s="1" t="n">
        <v>211</v>
      </c>
      <c r="B217" s="10" t="n">
        <f aca="false">A217/$B$4</f>
        <v>14.0666666666667</v>
      </c>
      <c r="C217" s="11" t="n">
        <f aca="false">B217*'Karnataka Fuel Rates'!$B$9</f>
        <v>1566.00683333333</v>
      </c>
      <c r="D217" s="10" t="n">
        <f aca="false">A217/$D$4</f>
        <v>11.7222222222222</v>
      </c>
      <c r="E217" s="11" t="n">
        <f aca="false">D217*'Karnataka Fuel Rates'!$C$9</f>
        <v>1163.60638888889</v>
      </c>
    </row>
    <row r="218" customFormat="false" ht="15" hidden="false" customHeight="true" outlineLevel="0" collapsed="false">
      <c r="A218" s="1" t="n">
        <v>212</v>
      </c>
      <c r="B218" s="10" t="n">
        <f aca="false">A218/$B$4</f>
        <v>14.1333333333333</v>
      </c>
      <c r="C218" s="11" t="n">
        <f aca="false">B218*'Karnataka Fuel Rates'!$B$9</f>
        <v>1573.42866666667</v>
      </c>
      <c r="D218" s="10" t="n">
        <f aca="false">A218/$D$4</f>
        <v>11.7777777777778</v>
      </c>
      <c r="E218" s="11" t="n">
        <f aca="false">D218*'Karnataka Fuel Rates'!$C$9</f>
        <v>1169.12111111111</v>
      </c>
    </row>
    <row r="219" customFormat="false" ht="15" hidden="false" customHeight="true" outlineLevel="0" collapsed="false">
      <c r="A219" s="1" t="n">
        <v>213</v>
      </c>
      <c r="B219" s="10" t="n">
        <f aca="false">A219/$B$4</f>
        <v>14.2</v>
      </c>
      <c r="C219" s="11" t="n">
        <f aca="false">B219*'Karnataka Fuel Rates'!$B$9</f>
        <v>1580.8505</v>
      </c>
      <c r="D219" s="10" t="n">
        <f aca="false">A219/$D$4</f>
        <v>11.8333333333333</v>
      </c>
      <c r="E219" s="11" t="n">
        <f aca="false">D219*'Karnataka Fuel Rates'!$C$9</f>
        <v>1174.63583333333</v>
      </c>
    </row>
    <row r="220" customFormat="false" ht="15" hidden="false" customHeight="true" outlineLevel="0" collapsed="false">
      <c r="A220" s="1" t="n">
        <v>214</v>
      </c>
      <c r="B220" s="10" t="n">
        <f aca="false">A220/$B$4</f>
        <v>14.2666666666667</v>
      </c>
      <c r="C220" s="11" t="n">
        <f aca="false">B220*'Karnataka Fuel Rates'!$B$9</f>
        <v>1588.27233333333</v>
      </c>
      <c r="D220" s="10" t="n">
        <f aca="false">A220/$D$4</f>
        <v>11.8888888888889</v>
      </c>
      <c r="E220" s="11" t="n">
        <f aca="false">D220*'Karnataka Fuel Rates'!$C$9</f>
        <v>1180.15055555556</v>
      </c>
    </row>
    <row r="221" customFormat="false" ht="15" hidden="false" customHeight="true" outlineLevel="0" collapsed="false">
      <c r="A221" s="1" t="n">
        <v>215</v>
      </c>
      <c r="B221" s="10" t="n">
        <f aca="false">A221/$B$4</f>
        <v>14.3333333333333</v>
      </c>
      <c r="C221" s="11" t="n">
        <f aca="false">B221*'Karnataka Fuel Rates'!$B$9</f>
        <v>1595.69416666667</v>
      </c>
      <c r="D221" s="10" t="n">
        <f aca="false">A221/$D$4</f>
        <v>11.9444444444444</v>
      </c>
      <c r="E221" s="11" t="n">
        <f aca="false">D221*'Karnataka Fuel Rates'!$C$9</f>
        <v>1185.66527777778</v>
      </c>
    </row>
    <row r="222" customFormat="false" ht="15" hidden="false" customHeight="true" outlineLevel="0" collapsed="false">
      <c r="A222" s="1" t="n">
        <v>216</v>
      </c>
      <c r="B222" s="10" t="n">
        <f aca="false">A222/$B$4</f>
        <v>14.4</v>
      </c>
      <c r="C222" s="11" t="n">
        <f aca="false">B222*'Karnataka Fuel Rates'!$B$9</f>
        <v>1603.116</v>
      </c>
      <c r="D222" s="10" t="n">
        <f aca="false">A222/$D$4</f>
        <v>12</v>
      </c>
      <c r="E222" s="11" t="n">
        <f aca="false">D222*'Karnataka Fuel Rates'!$C$9</f>
        <v>1191.18</v>
      </c>
    </row>
    <row r="223" customFormat="false" ht="15" hidden="false" customHeight="true" outlineLevel="0" collapsed="false">
      <c r="A223" s="1" t="n">
        <v>217</v>
      </c>
      <c r="B223" s="10" t="n">
        <f aca="false">A223/$B$4</f>
        <v>14.4666666666667</v>
      </c>
      <c r="C223" s="11" t="n">
        <f aca="false">B223*'Karnataka Fuel Rates'!$B$9</f>
        <v>1610.53783333333</v>
      </c>
      <c r="D223" s="10" t="n">
        <f aca="false">A223/$D$4</f>
        <v>12.0555555555556</v>
      </c>
      <c r="E223" s="11" t="n">
        <f aca="false">D223*'Karnataka Fuel Rates'!$C$9</f>
        <v>1196.69472222222</v>
      </c>
    </row>
    <row r="224" customFormat="false" ht="15" hidden="false" customHeight="true" outlineLevel="0" collapsed="false">
      <c r="A224" s="1" t="n">
        <v>218</v>
      </c>
      <c r="B224" s="10" t="n">
        <f aca="false">A224/$B$4</f>
        <v>14.5333333333333</v>
      </c>
      <c r="C224" s="11" t="n">
        <f aca="false">B224*'Karnataka Fuel Rates'!$B$9</f>
        <v>1617.95966666667</v>
      </c>
      <c r="D224" s="10" t="n">
        <f aca="false">A224/$D$4</f>
        <v>12.1111111111111</v>
      </c>
      <c r="E224" s="11" t="n">
        <f aca="false">D224*'Karnataka Fuel Rates'!$C$9</f>
        <v>1202.20944444444</v>
      </c>
    </row>
    <row r="225" customFormat="false" ht="15" hidden="false" customHeight="true" outlineLevel="0" collapsed="false">
      <c r="A225" s="1" t="n">
        <v>219</v>
      </c>
      <c r="B225" s="10" t="n">
        <f aca="false">A225/$B$4</f>
        <v>14.6</v>
      </c>
      <c r="C225" s="11" t="n">
        <f aca="false">B225*'Karnataka Fuel Rates'!$B$9</f>
        <v>1625.3815</v>
      </c>
      <c r="D225" s="10" t="n">
        <f aca="false">A225/$D$4</f>
        <v>12.1666666666667</v>
      </c>
      <c r="E225" s="11" t="n">
        <f aca="false">D225*'Karnataka Fuel Rates'!$C$9</f>
        <v>1207.72416666667</v>
      </c>
    </row>
    <row r="226" customFormat="false" ht="15" hidden="false" customHeight="true" outlineLevel="0" collapsed="false">
      <c r="A226" s="1" t="n">
        <v>220</v>
      </c>
      <c r="B226" s="10" t="n">
        <f aca="false">A226/$B$4</f>
        <v>14.6666666666667</v>
      </c>
      <c r="C226" s="11" t="n">
        <f aca="false">B226*'Karnataka Fuel Rates'!$B$9</f>
        <v>1632.80333333333</v>
      </c>
      <c r="D226" s="10" t="n">
        <f aca="false">A226/$D$4</f>
        <v>12.2222222222222</v>
      </c>
      <c r="E226" s="11" t="n">
        <f aca="false">D226*'Karnataka Fuel Rates'!$C$9</f>
        <v>1213.23888888889</v>
      </c>
    </row>
    <row r="227" customFormat="false" ht="15" hidden="false" customHeight="true" outlineLevel="0" collapsed="false">
      <c r="A227" s="1" t="n">
        <v>221</v>
      </c>
      <c r="B227" s="10" t="n">
        <f aca="false">A227/$B$4</f>
        <v>14.7333333333333</v>
      </c>
      <c r="C227" s="11" t="n">
        <f aca="false">B227*'Karnataka Fuel Rates'!$B$9</f>
        <v>1640.22516666667</v>
      </c>
      <c r="D227" s="10" t="n">
        <f aca="false">A227/$D$4</f>
        <v>12.2777777777778</v>
      </c>
      <c r="E227" s="11" t="n">
        <f aca="false">D227*'Karnataka Fuel Rates'!$C$9</f>
        <v>1218.75361111111</v>
      </c>
    </row>
    <row r="228" customFormat="false" ht="15" hidden="false" customHeight="true" outlineLevel="0" collapsed="false">
      <c r="A228" s="1" t="n">
        <v>222</v>
      </c>
      <c r="B228" s="10" t="n">
        <f aca="false">A228/$B$4</f>
        <v>14.8</v>
      </c>
      <c r="C228" s="11" t="n">
        <f aca="false">B228*'Karnataka Fuel Rates'!$B$9</f>
        <v>1647.647</v>
      </c>
      <c r="D228" s="10" t="n">
        <f aca="false">A228/$D$4</f>
        <v>12.3333333333333</v>
      </c>
      <c r="E228" s="11" t="n">
        <f aca="false">D228*'Karnataka Fuel Rates'!$C$9</f>
        <v>1224.26833333333</v>
      </c>
    </row>
    <row r="229" customFormat="false" ht="15" hidden="false" customHeight="true" outlineLevel="0" collapsed="false">
      <c r="A229" s="1" t="n">
        <v>223</v>
      </c>
      <c r="B229" s="10" t="n">
        <f aca="false">A229/$B$4</f>
        <v>14.8666666666667</v>
      </c>
      <c r="C229" s="11" t="n">
        <f aca="false">B229*'Karnataka Fuel Rates'!$B$9</f>
        <v>1655.06883333333</v>
      </c>
      <c r="D229" s="10" t="n">
        <f aca="false">A229/$D$4</f>
        <v>12.3888888888889</v>
      </c>
      <c r="E229" s="11" t="n">
        <f aca="false">D229*'Karnataka Fuel Rates'!$C$9</f>
        <v>1229.78305555556</v>
      </c>
    </row>
    <row r="230" customFormat="false" ht="15" hidden="false" customHeight="true" outlineLevel="0" collapsed="false">
      <c r="A230" s="1" t="n">
        <v>224</v>
      </c>
      <c r="B230" s="10" t="n">
        <f aca="false">A230/$B$4</f>
        <v>14.9333333333333</v>
      </c>
      <c r="C230" s="11" t="n">
        <f aca="false">B230*'Karnataka Fuel Rates'!$B$9</f>
        <v>1662.49066666667</v>
      </c>
      <c r="D230" s="10" t="n">
        <f aca="false">A230/$D$4</f>
        <v>12.4444444444444</v>
      </c>
      <c r="E230" s="11" t="n">
        <f aca="false">D230*'Karnataka Fuel Rates'!$C$9</f>
        <v>1235.29777777778</v>
      </c>
    </row>
    <row r="231" customFormat="false" ht="15" hidden="false" customHeight="true" outlineLevel="0" collapsed="false">
      <c r="A231" s="1" t="n">
        <v>225</v>
      </c>
      <c r="B231" s="10" t="n">
        <f aca="false">A231/$B$4</f>
        <v>15</v>
      </c>
      <c r="C231" s="11" t="n">
        <f aca="false">B231*'Karnataka Fuel Rates'!$B$9</f>
        <v>1669.9125</v>
      </c>
      <c r="D231" s="10" t="n">
        <f aca="false">A231/$D$4</f>
        <v>12.5</v>
      </c>
      <c r="E231" s="11" t="n">
        <f aca="false">D231*'Karnataka Fuel Rates'!$C$9</f>
        <v>1240.8125</v>
      </c>
    </row>
    <row r="232" customFormat="false" ht="15" hidden="false" customHeight="true" outlineLevel="0" collapsed="false">
      <c r="A232" s="1" t="n">
        <v>226</v>
      </c>
      <c r="B232" s="10" t="n">
        <f aca="false">A232/$B$4</f>
        <v>15.0666666666667</v>
      </c>
      <c r="C232" s="11" t="n">
        <f aca="false">B232*'Karnataka Fuel Rates'!$B$9</f>
        <v>1677.33433333333</v>
      </c>
      <c r="D232" s="10" t="n">
        <f aca="false">A232/$D$4</f>
        <v>12.5555555555556</v>
      </c>
      <c r="E232" s="11" t="n">
        <f aca="false">D232*'Karnataka Fuel Rates'!$C$9</f>
        <v>1246.32722222222</v>
      </c>
    </row>
    <row r="233" customFormat="false" ht="15" hidden="false" customHeight="true" outlineLevel="0" collapsed="false">
      <c r="A233" s="1" t="n">
        <v>227</v>
      </c>
      <c r="B233" s="10" t="n">
        <f aca="false">A233/$B$4</f>
        <v>15.1333333333333</v>
      </c>
      <c r="C233" s="11" t="n">
        <f aca="false">B233*'Karnataka Fuel Rates'!$B$9</f>
        <v>1684.75616666667</v>
      </c>
      <c r="D233" s="10" t="n">
        <f aca="false">A233/$D$4</f>
        <v>12.6111111111111</v>
      </c>
      <c r="E233" s="11" t="n">
        <f aca="false">D233*'Karnataka Fuel Rates'!$C$9</f>
        <v>1251.84194444444</v>
      </c>
    </row>
    <row r="234" customFormat="false" ht="15" hidden="false" customHeight="true" outlineLevel="0" collapsed="false">
      <c r="A234" s="1" t="n">
        <v>228</v>
      </c>
      <c r="B234" s="10" t="n">
        <f aca="false">A234/$B$4</f>
        <v>15.2</v>
      </c>
      <c r="C234" s="11" t="n">
        <f aca="false">B234*'Karnataka Fuel Rates'!$B$9</f>
        <v>1692.178</v>
      </c>
      <c r="D234" s="10" t="n">
        <f aca="false">A234/$D$4</f>
        <v>12.6666666666667</v>
      </c>
      <c r="E234" s="11" t="n">
        <f aca="false">D234*'Karnataka Fuel Rates'!$C$9</f>
        <v>1257.35666666667</v>
      </c>
    </row>
    <row r="235" customFormat="false" ht="15" hidden="false" customHeight="true" outlineLevel="0" collapsed="false">
      <c r="A235" s="1" t="n">
        <v>229</v>
      </c>
      <c r="B235" s="10" t="n">
        <f aca="false">A235/$B$4</f>
        <v>15.2666666666667</v>
      </c>
      <c r="C235" s="11" t="n">
        <f aca="false">B235*'Karnataka Fuel Rates'!$B$9</f>
        <v>1699.59983333333</v>
      </c>
      <c r="D235" s="10" t="n">
        <f aca="false">A235/$D$4</f>
        <v>12.7222222222222</v>
      </c>
      <c r="E235" s="11" t="n">
        <f aca="false">D235*'Karnataka Fuel Rates'!$C$9</f>
        <v>1262.87138888889</v>
      </c>
    </row>
    <row r="236" customFormat="false" ht="15" hidden="false" customHeight="true" outlineLevel="0" collapsed="false">
      <c r="A236" s="1" t="n">
        <v>230</v>
      </c>
      <c r="B236" s="10" t="n">
        <f aca="false">A236/$B$4</f>
        <v>15.3333333333333</v>
      </c>
      <c r="C236" s="11" t="n">
        <f aca="false">B236*'Karnataka Fuel Rates'!$B$9</f>
        <v>1707.02166666667</v>
      </c>
      <c r="D236" s="10" t="n">
        <f aca="false">A236/$D$4</f>
        <v>12.7777777777778</v>
      </c>
      <c r="E236" s="11" t="n">
        <f aca="false">D236*'Karnataka Fuel Rates'!$C$9</f>
        <v>1268.38611111111</v>
      </c>
    </row>
    <row r="237" customFormat="false" ht="15" hidden="false" customHeight="true" outlineLevel="0" collapsed="false">
      <c r="A237" s="1" t="n">
        <v>231</v>
      </c>
      <c r="B237" s="10" t="n">
        <f aca="false">A237/$B$4</f>
        <v>15.4</v>
      </c>
      <c r="C237" s="11" t="n">
        <f aca="false">B237*'Karnataka Fuel Rates'!$B$9</f>
        <v>1714.4435</v>
      </c>
      <c r="D237" s="10" t="n">
        <f aca="false">A237/$D$4</f>
        <v>12.8333333333333</v>
      </c>
      <c r="E237" s="11" t="n">
        <f aca="false">D237*'Karnataka Fuel Rates'!$C$9</f>
        <v>1273.90083333333</v>
      </c>
    </row>
    <row r="238" customFormat="false" ht="15" hidden="false" customHeight="true" outlineLevel="0" collapsed="false">
      <c r="A238" s="1" t="n">
        <v>232</v>
      </c>
      <c r="B238" s="10" t="n">
        <f aca="false">A238/$B$4</f>
        <v>15.4666666666667</v>
      </c>
      <c r="C238" s="11" t="n">
        <f aca="false">B238*'Karnataka Fuel Rates'!$B$9</f>
        <v>1721.86533333333</v>
      </c>
      <c r="D238" s="10" t="n">
        <f aca="false">A238/$D$4</f>
        <v>12.8888888888889</v>
      </c>
      <c r="E238" s="11" t="n">
        <f aca="false">D238*'Karnataka Fuel Rates'!$C$9</f>
        <v>1279.41555555556</v>
      </c>
    </row>
    <row r="239" customFormat="false" ht="15" hidden="false" customHeight="true" outlineLevel="0" collapsed="false">
      <c r="A239" s="1" t="n">
        <v>233</v>
      </c>
      <c r="B239" s="10" t="n">
        <f aca="false">A239/$B$4</f>
        <v>15.5333333333333</v>
      </c>
      <c r="C239" s="11" t="n">
        <f aca="false">B239*'Karnataka Fuel Rates'!$B$9</f>
        <v>1729.28716666667</v>
      </c>
      <c r="D239" s="10" t="n">
        <f aca="false">A239/$D$4</f>
        <v>12.9444444444444</v>
      </c>
      <c r="E239" s="11" t="n">
        <f aca="false">D239*'Karnataka Fuel Rates'!$C$9</f>
        <v>1284.93027777778</v>
      </c>
    </row>
    <row r="240" customFormat="false" ht="15" hidden="false" customHeight="true" outlineLevel="0" collapsed="false">
      <c r="A240" s="1" t="n">
        <v>234</v>
      </c>
      <c r="B240" s="10" t="n">
        <f aca="false">A240/$B$4</f>
        <v>15.6</v>
      </c>
      <c r="C240" s="11" t="n">
        <f aca="false">B240*'Karnataka Fuel Rates'!$B$9</f>
        <v>1736.709</v>
      </c>
      <c r="D240" s="10" t="n">
        <f aca="false">A240/$D$4</f>
        <v>13</v>
      </c>
      <c r="E240" s="11" t="n">
        <f aca="false">D240*'Karnataka Fuel Rates'!$C$9</f>
        <v>1290.445</v>
      </c>
    </row>
    <row r="241" customFormat="false" ht="15" hidden="false" customHeight="true" outlineLevel="0" collapsed="false">
      <c r="A241" s="1" t="n">
        <v>235</v>
      </c>
      <c r="B241" s="10" t="n">
        <f aca="false">A241/$B$4</f>
        <v>15.6666666666667</v>
      </c>
      <c r="C241" s="11" t="n">
        <f aca="false">B241*'Karnataka Fuel Rates'!$B$9</f>
        <v>1744.13083333333</v>
      </c>
      <c r="D241" s="10" t="n">
        <f aca="false">A241/$D$4</f>
        <v>13.0555555555556</v>
      </c>
      <c r="E241" s="11" t="n">
        <f aca="false">D241*'Karnataka Fuel Rates'!$C$9</f>
        <v>1295.95972222222</v>
      </c>
    </row>
    <row r="242" customFormat="false" ht="15" hidden="false" customHeight="true" outlineLevel="0" collapsed="false">
      <c r="A242" s="1" t="n">
        <v>236</v>
      </c>
      <c r="B242" s="10" t="n">
        <f aca="false">A242/$B$4</f>
        <v>15.7333333333333</v>
      </c>
      <c r="C242" s="11" t="n">
        <f aca="false">B242*'Karnataka Fuel Rates'!$B$9</f>
        <v>1751.55266666667</v>
      </c>
      <c r="D242" s="10" t="n">
        <f aca="false">A242/$D$4</f>
        <v>13.1111111111111</v>
      </c>
      <c r="E242" s="11" t="n">
        <f aca="false">D242*'Karnataka Fuel Rates'!$C$9</f>
        <v>1301.47444444444</v>
      </c>
    </row>
    <row r="243" customFormat="false" ht="15" hidden="false" customHeight="true" outlineLevel="0" collapsed="false">
      <c r="A243" s="1" t="n">
        <v>237</v>
      </c>
      <c r="B243" s="10" t="n">
        <f aca="false">A243/$B$4</f>
        <v>15.8</v>
      </c>
      <c r="C243" s="11" t="n">
        <f aca="false">B243*'Karnataka Fuel Rates'!$B$9</f>
        <v>1758.9745</v>
      </c>
      <c r="D243" s="10" t="n">
        <f aca="false">A243/$D$4</f>
        <v>13.1666666666667</v>
      </c>
      <c r="E243" s="11" t="n">
        <f aca="false">D243*'Karnataka Fuel Rates'!$C$9</f>
        <v>1306.98916666667</v>
      </c>
    </row>
    <row r="244" customFormat="false" ht="15" hidden="false" customHeight="true" outlineLevel="0" collapsed="false">
      <c r="A244" s="1" t="n">
        <v>238</v>
      </c>
      <c r="B244" s="10" t="n">
        <f aca="false">A244/$B$4</f>
        <v>15.8666666666667</v>
      </c>
      <c r="C244" s="11" t="n">
        <f aca="false">B244*'Karnataka Fuel Rates'!$B$9</f>
        <v>1766.39633333333</v>
      </c>
      <c r="D244" s="10" t="n">
        <f aca="false">A244/$D$4</f>
        <v>13.2222222222222</v>
      </c>
      <c r="E244" s="11" t="n">
        <f aca="false">D244*'Karnataka Fuel Rates'!$C$9</f>
        <v>1312.50388888889</v>
      </c>
    </row>
    <row r="245" customFormat="false" ht="15" hidden="false" customHeight="true" outlineLevel="0" collapsed="false">
      <c r="A245" s="1" t="n">
        <v>239</v>
      </c>
      <c r="B245" s="10" t="n">
        <f aca="false">A245/$B$4</f>
        <v>15.9333333333333</v>
      </c>
      <c r="C245" s="11" t="n">
        <f aca="false">B245*'Karnataka Fuel Rates'!$B$9</f>
        <v>1773.81816666667</v>
      </c>
      <c r="D245" s="10" t="n">
        <f aca="false">A245/$D$4</f>
        <v>13.2777777777778</v>
      </c>
      <c r="E245" s="11" t="n">
        <f aca="false">D245*'Karnataka Fuel Rates'!$C$9</f>
        <v>1318.01861111111</v>
      </c>
    </row>
    <row r="246" customFormat="false" ht="15" hidden="false" customHeight="true" outlineLevel="0" collapsed="false">
      <c r="A246" s="1" t="n">
        <v>240</v>
      </c>
      <c r="B246" s="10" t="n">
        <f aca="false">A246/$B$4</f>
        <v>16</v>
      </c>
      <c r="C246" s="11" t="n">
        <f aca="false">B246*'Karnataka Fuel Rates'!$B$9</f>
        <v>1781.24</v>
      </c>
      <c r="D246" s="10" t="n">
        <f aca="false">A246/$D$4</f>
        <v>13.3333333333333</v>
      </c>
      <c r="E246" s="11" t="n">
        <f aca="false">D246*'Karnataka Fuel Rates'!$C$9</f>
        <v>1323.53333333333</v>
      </c>
    </row>
    <row r="247" customFormat="false" ht="15" hidden="false" customHeight="true" outlineLevel="0" collapsed="false">
      <c r="A247" s="1" t="n">
        <v>241</v>
      </c>
      <c r="B247" s="10" t="n">
        <f aca="false">A247/$B$4</f>
        <v>16.0666666666667</v>
      </c>
      <c r="C247" s="11" t="n">
        <f aca="false">B247*'Karnataka Fuel Rates'!$B$9</f>
        <v>1788.66183333333</v>
      </c>
      <c r="D247" s="10" t="n">
        <f aca="false">A247/$D$4</f>
        <v>13.3888888888889</v>
      </c>
      <c r="E247" s="11" t="n">
        <f aca="false">D247*'Karnataka Fuel Rates'!$C$9</f>
        <v>1329.04805555556</v>
      </c>
    </row>
    <row r="248" customFormat="false" ht="15" hidden="false" customHeight="true" outlineLevel="0" collapsed="false">
      <c r="A248" s="1" t="n">
        <v>242</v>
      </c>
      <c r="B248" s="10" t="n">
        <f aca="false">A248/$B$4</f>
        <v>16.1333333333333</v>
      </c>
      <c r="C248" s="11" t="n">
        <f aca="false">B248*'Karnataka Fuel Rates'!$B$9</f>
        <v>1796.08366666667</v>
      </c>
      <c r="D248" s="10" t="n">
        <f aca="false">A248/$D$4</f>
        <v>13.4444444444444</v>
      </c>
      <c r="E248" s="11" t="n">
        <f aca="false">D248*'Karnataka Fuel Rates'!$C$9</f>
        <v>1334.56277777778</v>
      </c>
    </row>
    <row r="249" customFormat="false" ht="15" hidden="false" customHeight="true" outlineLevel="0" collapsed="false">
      <c r="A249" s="1" t="n">
        <v>243</v>
      </c>
      <c r="B249" s="10" t="n">
        <f aca="false">A249/$B$4</f>
        <v>16.2</v>
      </c>
      <c r="C249" s="11" t="n">
        <f aca="false">B249*'Karnataka Fuel Rates'!$B$9</f>
        <v>1803.5055</v>
      </c>
      <c r="D249" s="10" t="n">
        <f aca="false">A249/$D$4</f>
        <v>13.5</v>
      </c>
      <c r="E249" s="11" t="n">
        <f aca="false">D249*'Karnataka Fuel Rates'!$C$9</f>
        <v>1340.0775</v>
      </c>
    </row>
    <row r="250" customFormat="false" ht="15" hidden="false" customHeight="true" outlineLevel="0" collapsed="false">
      <c r="A250" s="1" t="n">
        <v>244</v>
      </c>
      <c r="B250" s="10" t="n">
        <f aca="false">A250/$B$4</f>
        <v>16.2666666666667</v>
      </c>
      <c r="C250" s="11" t="n">
        <f aca="false">B250*'Karnataka Fuel Rates'!$B$9</f>
        <v>1810.92733333333</v>
      </c>
      <c r="D250" s="10" t="n">
        <f aca="false">A250/$D$4</f>
        <v>13.5555555555556</v>
      </c>
      <c r="E250" s="11" t="n">
        <f aca="false">D250*'Karnataka Fuel Rates'!$C$9</f>
        <v>1345.59222222222</v>
      </c>
    </row>
    <row r="251" customFormat="false" ht="15" hidden="false" customHeight="true" outlineLevel="0" collapsed="false">
      <c r="A251" s="1" t="n">
        <v>245</v>
      </c>
      <c r="B251" s="10" t="n">
        <f aca="false">A251/$B$4</f>
        <v>16.3333333333333</v>
      </c>
      <c r="C251" s="11" t="n">
        <f aca="false">B251*'Karnataka Fuel Rates'!$B$9</f>
        <v>1818.34916666667</v>
      </c>
      <c r="D251" s="10" t="n">
        <f aca="false">A251/$D$4</f>
        <v>13.6111111111111</v>
      </c>
      <c r="E251" s="11" t="n">
        <f aca="false">D251*'Karnataka Fuel Rates'!$C$9</f>
        <v>1351.10694444444</v>
      </c>
    </row>
    <row r="252" customFormat="false" ht="15" hidden="false" customHeight="true" outlineLevel="0" collapsed="false">
      <c r="A252" s="1" t="n">
        <v>246</v>
      </c>
      <c r="B252" s="10" t="n">
        <f aca="false">A252/$B$4</f>
        <v>16.4</v>
      </c>
      <c r="C252" s="11" t="n">
        <f aca="false">B252*'Karnataka Fuel Rates'!$B$9</f>
        <v>1825.771</v>
      </c>
      <c r="D252" s="10" t="n">
        <f aca="false">A252/$D$4</f>
        <v>13.6666666666667</v>
      </c>
      <c r="E252" s="11" t="n">
        <f aca="false">D252*'Karnataka Fuel Rates'!$C$9</f>
        <v>1356.62166666667</v>
      </c>
    </row>
    <row r="253" customFormat="false" ht="15" hidden="false" customHeight="true" outlineLevel="0" collapsed="false">
      <c r="A253" s="1" t="n">
        <v>247</v>
      </c>
      <c r="B253" s="10" t="n">
        <f aca="false">A253/$B$4</f>
        <v>16.4666666666667</v>
      </c>
      <c r="C253" s="11" t="n">
        <f aca="false">B253*'Karnataka Fuel Rates'!$B$9</f>
        <v>1833.19283333333</v>
      </c>
      <c r="D253" s="10" t="n">
        <f aca="false">A253/$D$4</f>
        <v>13.7222222222222</v>
      </c>
      <c r="E253" s="11" t="n">
        <f aca="false">D253*'Karnataka Fuel Rates'!$C$9</f>
        <v>1362.13638888889</v>
      </c>
    </row>
    <row r="254" customFormat="false" ht="15" hidden="false" customHeight="true" outlineLevel="0" collapsed="false">
      <c r="A254" s="1" t="n">
        <v>248</v>
      </c>
      <c r="B254" s="10" t="n">
        <f aca="false">A254/$B$4</f>
        <v>16.5333333333333</v>
      </c>
      <c r="C254" s="11" t="n">
        <f aca="false">B254*'Karnataka Fuel Rates'!$B$9</f>
        <v>1840.61466666667</v>
      </c>
      <c r="D254" s="10" t="n">
        <f aca="false">A254/$D$4</f>
        <v>13.7777777777778</v>
      </c>
      <c r="E254" s="11" t="n">
        <f aca="false">D254*'Karnataka Fuel Rates'!$C$9</f>
        <v>1367.65111111111</v>
      </c>
    </row>
    <row r="255" customFormat="false" ht="15" hidden="false" customHeight="true" outlineLevel="0" collapsed="false">
      <c r="A255" s="1" t="n">
        <v>249</v>
      </c>
      <c r="B255" s="10" t="n">
        <f aca="false">A255/$B$4</f>
        <v>16.6</v>
      </c>
      <c r="C255" s="11" t="n">
        <f aca="false">B255*'Karnataka Fuel Rates'!$B$9</f>
        <v>1848.0365</v>
      </c>
      <c r="D255" s="10" t="n">
        <f aca="false">A255/$D$4</f>
        <v>13.8333333333333</v>
      </c>
      <c r="E255" s="11" t="n">
        <f aca="false">D255*'Karnataka Fuel Rates'!$C$9</f>
        <v>1373.16583333333</v>
      </c>
    </row>
    <row r="256" customFormat="false" ht="15" hidden="false" customHeight="true" outlineLevel="0" collapsed="false">
      <c r="A256" s="1" t="n">
        <v>250</v>
      </c>
      <c r="B256" s="10" t="n">
        <f aca="false">A256/$B$4</f>
        <v>16.6666666666667</v>
      </c>
      <c r="C256" s="11" t="n">
        <f aca="false">B256*'Karnataka Fuel Rates'!$B$9</f>
        <v>1855.45833333333</v>
      </c>
      <c r="D256" s="10" t="n">
        <f aca="false">A256/$D$4</f>
        <v>13.8888888888889</v>
      </c>
      <c r="E256" s="11" t="n">
        <f aca="false">D256*'Karnataka Fuel Rates'!$C$9</f>
        <v>1378.68055555556</v>
      </c>
    </row>
    <row r="257" customFormat="false" ht="15" hidden="false" customHeight="true" outlineLevel="0" collapsed="false">
      <c r="A257" s="1" t="n">
        <v>251</v>
      </c>
      <c r="B257" s="10" t="n">
        <f aca="false">A257/$B$4</f>
        <v>16.7333333333333</v>
      </c>
      <c r="C257" s="11" t="n">
        <f aca="false">B257*'Karnataka Fuel Rates'!$B$9</f>
        <v>1862.88016666667</v>
      </c>
      <c r="D257" s="10" t="n">
        <f aca="false">A257/$D$4</f>
        <v>13.9444444444444</v>
      </c>
      <c r="E257" s="11" t="n">
        <f aca="false">D257*'Karnataka Fuel Rates'!$C$9</f>
        <v>1384.19527777778</v>
      </c>
    </row>
    <row r="258" customFormat="false" ht="15" hidden="false" customHeight="true" outlineLevel="0" collapsed="false">
      <c r="A258" s="1" t="n">
        <v>252</v>
      </c>
      <c r="B258" s="10" t="n">
        <f aca="false">A258/$B$4</f>
        <v>16.8</v>
      </c>
      <c r="C258" s="11" t="n">
        <f aca="false">B258*'Karnataka Fuel Rates'!$B$9</f>
        <v>1870.302</v>
      </c>
      <c r="D258" s="10" t="n">
        <f aca="false">A258/$D$4</f>
        <v>14</v>
      </c>
      <c r="E258" s="11" t="n">
        <f aca="false">D258*'Karnataka Fuel Rates'!$C$9</f>
        <v>1389.71</v>
      </c>
    </row>
    <row r="259" customFormat="false" ht="15" hidden="false" customHeight="true" outlineLevel="0" collapsed="false">
      <c r="A259" s="1" t="n">
        <v>253</v>
      </c>
      <c r="B259" s="10" t="n">
        <f aca="false">A259/$B$4</f>
        <v>16.8666666666667</v>
      </c>
      <c r="C259" s="11" t="n">
        <f aca="false">B259*'Karnataka Fuel Rates'!$B$9</f>
        <v>1877.72383333333</v>
      </c>
      <c r="D259" s="10" t="n">
        <f aca="false">A259/$D$4</f>
        <v>14.0555555555556</v>
      </c>
      <c r="E259" s="11" t="n">
        <f aca="false">D259*'Karnataka Fuel Rates'!$C$9</f>
        <v>1395.22472222222</v>
      </c>
    </row>
    <row r="260" customFormat="false" ht="15" hidden="false" customHeight="true" outlineLevel="0" collapsed="false">
      <c r="A260" s="1" t="n">
        <v>254</v>
      </c>
      <c r="B260" s="10" t="n">
        <f aca="false">A260/$B$4</f>
        <v>16.9333333333333</v>
      </c>
      <c r="C260" s="11" t="n">
        <f aca="false">B260*'Karnataka Fuel Rates'!$B$9</f>
        <v>1885.14566666667</v>
      </c>
      <c r="D260" s="10" t="n">
        <f aca="false">A260/$D$4</f>
        <v>14.1111111111111</v>
      </c>
      <c r="E260" s="11" t="n">
        <f aca="false">D260*'Karnataka Fuel Rates'!$C$9</f>
        <v>1400.73944444444</v>
      </c>
    </row>
    <row r="261" customFormat="false" ht="15" hidden="false" customHeight="true" outlineLevel="0" collapsed="false">
      <c r="A261" s="1" t="n">
        <v>255</v>
      </c>
      <c r="B261" s="10" t="n">
        <f aca="false">A261/$B$4</f>
        <v>17</v>
      </c>
      <c r="C261" s="11" t="n">
        <f aca="false">B261*'Karnataka Fuel Rates'!$B$9</f>
        <v>1892.5675</v>
      </c>
      <c r="D261" s="10" t="n">
        <f aca="false">A261/$D$4</f>
        <v>14.1666666666667</v>
      </c>
      <c r="E261" s="11" t="n">
        <f aca="false">D261*'Karnataka Fuel Rates'!$C$9</f>
        <v>1406.25416666667</v>
      </c>
    </row>
    <row r="262" customFormat="false" ht="15" hidden="false" customHeight="true" outlineLevel="0" collapsed="false">
      <c r="A262" s="1" t="n">
        <v>256</v>
      </c>
      <c r="B262" s="10" t="n">
        <f aca="false">A262/$B$4</f>
        <v>17.0666666666667</v>
      </c>
      <c r="C262" s="11" t="n">
        <f aca="false">B262*'Karnataka Fuel Rates'!$B$9</f>
        <v>1899.98933333333</v>
      </c>
      <c r="D262" s="10" t="n">
        <f aca="false">A262/$D$4</f>
        <v>14.2222222222222</v>
      </c>
      <c r="E262" s="11" t="n">
        <f aca="false">D262*'Karnataka Fuel Rates'!$C$9</f>
        <v>1411.76888888889</v>
      </c>
    </row>
    <row r="263" customFormat="false" ht="15" hidden="false" customHeight="true" outlineLevel="0" collapsed="false">
      <c r="A263" s="1" t="n">
        <v>257</v>
      </c>
      <c r="B263" s="10" t="n">
        <f aca="false">A263/$B$4</f>
        <v>17.1333333333333</v>
      </c>
      <c r="C263" s="11" t="n">
        <f aca="false">B263*'Karnataka Fuel Rates'!$B$9</f>
        <v>1907.41116666667</v>
      </c>
      <c r="D263" s="10" t="n">
        <f aca="false">A263/$D$4</f>
        <v>14.2777777777778</v>
      </c>
      <c r="E263" s="11" t="n">
        <f aca="false">D263*'Karnataka Fuel Rates'!$C$9</f>
        <v>1417.28361111111</v>
      </c>
    </row>
    <row r="264" customFormat="false" ht="15" hidden="false" customHeight="true" outlineLevel="0" collapsed="false">
      <c r="A264" s="1" t="n">
        <v>258</v>
      </c>
      <c r="B264" s="10" t="n">
        <f aca="false">A264/$B$4</f>
        <v>17.2</v>
      </c>
      <c r="C264" s="11" t="n">
        <f aca="false">B264*'Karnataka Fuel Rates'!$B$9</f>
        <v>1914.833</v>
      </c>
      <c r="D264" s="10" t="n">
        <f aca="false">A264/$D$4</f>
        <v>14.3333333333333</v>
      </c>
      <c r="E264" s="11" t="n">
        <f aca="false">D264*'Karnataka Fuel Rates'!$C$9</f>
        <v>1422.79833333333</v>
      </c>
    </row>
    <row r="265" customFormat="false" ht="15" hidden="false" customHeight="true" outlineLevel="0" collapsed="false">
      <c r="A265" s="1" t="n">
        <v>259</v>
      </c>
      <c r="B265" s="10" t="n">
        <f aca="false">A265/$B$4</f>
        <v>17.2666666666667</v>
      </c>
      <c r="C265" s="11" t="n">
        <f aca="false">B265*'Karnataka Fuel Rates'!$B$9</f>
        <v>1922.25483333333</v>
      </c>
      <c r="D265" s="10" t="n">
        <f aca="false">A265/$D$4</f>
        <v>14.3888888888889</v>
      </c>
      <c r="E265" s="11" t="n">
        <f aca="false">D265*'Karnataka Fuel Rates'!$C$9</f>
        <v>1428.31305555556</v>
      </c>
    </row>
    <row r="266" customFormat="false" ht="15" hidden="false" customHeight="true" outlineLevel="0" collapsed="false">
      <c r="A266" s="1" t="n">
        <v>260</v>
      </c>
      <c r="B266" s="10" t="n">
        <f aca="false">A266/$B$4</f>
        <v>17.3333333333333</v>
      </c>
      <c r="C266" s="11" t="n">
        <f aca="false">B266*'Karnataka Fuel Rates'!$B$9</f>
        <v>1929.67666666667</v>
      </c>
      <c r="D266" s="10" t="n">
        <f aca="false">A266/$D$4</f>
        <v>14.4444444444444</v>
      </c>
      <c r="E266" s="11" t="n">
        <f aca="false">D266*'Karnataka Fuel Rates'!$C$9</f>
        <v>1433.82777777778</v>
      </c>
    </row>
    <row r="267" customFormat="false" ht="15" hidden="false" customHeight="true" outlineLevel="0" collapsed="false">
      <c r="A267" s="1" t="n">
        <v>261</v>
      </c>
      <c r="B267" s="10" t="n">
        <f aca="false">A267/$B$4</f>
        <v>17.4</v>
      </c>
      <c r="C267" s="11" t="n">
        <f aca="false">B267*'Karnataka Fuel Rates'!$B$9</f>
        <v>1937.0985</v>
      </c>
      <c r="D267" s="10" t="n">
        <f aca="false">A267/$D$4</f>
        <v>14.5</v>
      </c>
      <c r="E267" s="11" t="n">
        <f aca="false">D267*'Karnataka Fuel Rates'!$C$9</f>
        <v>1439.3425</v>
      </c>
    </row>
    <row r="268" customFormat="false" ht="15" hidden="false" customHeight="true" outlineLevel="0" collapsed="false">
      <c r="A268" s="1" t="n">
        <v>262</v>
      </c>
      <c r="B268" s="10" t="n">
        <f aca="false">A268/$B$4</f>
        <v>17.4666666666667</v>
      </c>
      <c r="C268" s="11" t="n">
        <f aca="false">B268*'Karnataka Fuel Rates'!$B$9</f>
        <v>1944.52033333333</v>
      </c>
      <c r="D268" s="10" t="n">
        <f aca="false">A268/$D$4</f>
        <v>14.5555555555556</v>
      </c>
      <c r="E268" s="11" t="n">
        <f aca="false">D268*'Karnataka Fuel Rates'!$C$9</f>
        <v>1444.85722222222</v>
      </c>
    </row>
    <row r="269" customFormat="false" ht="15" hidden="false" customHeight="true" outlineLevel="0" collapsed="false">
      <c r="A269" s="1" t="n">
        <v>263</v>
      </c>
      <c r="B269" s="10" t="n">
        <f aca="false">A269/$B$4</f>
        <v>17.5333333333333</v>
      </c>
      <c r="C269" s="11" t="n">
        <f aca="false">B269*'Karnataka Fuel Rates'!$B$9</f>
        <v>1951.94216666667</v>
      </c>
      <c r="D269" s="10" t="n">
        <f aca="false">A269/$D$4</f>
        <v>14.6111111111111</v>
      </c>
      <c r="E269" s="11" t="n">
        <f aca="false">D269*'Karnataka Fuel Rates'!$C$9</f>
        <v>1450.37194444444</v>
      </c>
    </row>
    <row r="270" customFormat="false" ht="15" hidden="false" customHeight="true" outlineLevel="0" collapsed="false">
      <c r="A270" s="1" t="n">
        <v>264</v>
      </c>
      <c r="B270" s="10" t="n">
        <f aca="false">A270/$B$4</f>
        <v>17.6</v>
      </c>
      <c r="C270" s="11" t="n">
        <f aca="false">B270*'Karnataka Fuel Rates'!$B$9</f>
        <v>1959.364</v>
      </c>
      <c r="D270" s="10" t="n">
        <f aca="false">A270/$D$4</f>
        <v>14.6666666666667</v>
      </c>
      <c r="E270" s="11" t="n">
        <f aca="false">D270*'Karnataka Fuel Rates'!$C$9</f>
        <v>1455.88666666667</v>
      </c>
    </row>
    <row r="271" customFormat="false" ht="15" hidden="false" customHeight="true" outlineLevel="0" collapsed="false">
      <c r="A271" s="1" t="n">
        <v>265</v>
      </c>
      <c r="B271" s="10" t="n">
        <f aca="false">A271/$B$4</f>
        <v>17.6666666666667</v>
      </c>
      <c r="C271" s="11" t="n">
        <f aca="false">B271*'Karnataka Fuel Rates'!$B$9</f>
        <v>1966.78583333333</v>
      </c>
      <c r="D271" s="10" t="n">
        <f aca="false">A271/$D$4</f>
        <v>14.7222222222222</v>
      </c>
      <c r="E271" s="11" t="n">
        <f aca="false">D271*'Karnataka Fuel Rates'!$C$9</f>
        <v>1461.40138888889</v>
      </c>
    </row>
    <row r="272" customFormat="false" ht="15" hidden="false" customHeight="true" outlineLevel="0" collapsed="false">
      <c r="A272" s="1" t="n">
        <v>266</v>
      </c>
      <c r="B272" s="10" t="n">
        <f aca="false">A272/$B$4</f>
        <v>17.7333333333333</v>
      </c>
      <c r="C272" s="11" t="n">
        <f aca="false">B272*'Karnataka Fuel Rates'!$B$9</f>
        <v>1974.20766666667</v>
      </c>
      <c r="D272" s="10" t="n">
        <f aca="false">A272/$D$4</f>
        <v>14.7777777777778</v>
      </c>
      <c r="E272" s="11" t="n">
        <f aca="false">D272*'Karnataka Fuel Rates'!$C$9</f>
        <v>1466.91611111111</v>
      </c>
    </row>
    <row r="273" customFormat="false" ht="15" hidden="false" customHeight="true" outlineLevel="0" collapsed="false">
      <c r="A273" s="1" t="n">
        <v>267</v>
      </c>
      <c r="B273" s="10" t="n">
        <f aca="false">A273/$B$4</f>
        <v>17.8</v>
      </c>
      <c r="C273" s="11" t="n">
        <f aca="false">B273*'Karnataka Fuel Rates'!$B$9</f>
        <v>1981.6295</v>
      </c>
      <c r="D273" s="10" t="n">
        <f aca="false">A273/$D$4</f>
        <v>14.8333333333333</v>
      </c>
      <c r="E273" s="11" t="n">
        <f aca="false">D273*'Karnataka Fuel Rates'!$C$9</f>
        <v>1472.43083333333</v>
      </c>
    </row>
    <row r="274" customFormat="false" ht="15" hidden="false" customHeight="true" outlineLevel="0" collapsed="false">
      <c r="A274" s="1" t="n">
        <v>268</v>
      </c>
      <c r="B274" s="10" t="n">
        <f aca="false">A274/$B$4</f>
        <v>17.8666666666667</v>
      </c>
      <c r="C274" s="11" t="n">
        <f aca="false">B274*'Karnataka Fuel Rates'!$B$9</f>
        <v>1989.05133333333</v>
      </c>
      <c r="D274" s="10" t="n">
        <f aca="false">A274/$D$4</f>
        <v>14.8888888888889</v>
      </c>
      <c r="E274" s="11" t="n">
        <f aca="false">D274*'Karnataka Fuel Rates'!$C$9</f>
        <v>1477.94555555556</v>
      </c>
    </row>
    <row r="275" customFormat="false" ht="15" hidden="false" customHeight="true" outlineLevel="0" collapsed="false">
      <c r="A275" s="1" t="n">
        <v>269</v>
      </c>
      <c r="B275" s="10" t="n">
        <f aca="false">A275/$B$4</f>
        <v>17.9333333333333</v>
      </c>
      <c r="C275" s="11" t="n">
        <f aca="false">B275*'Karnataka Fuel Rates'!$B$9</f>
        <v>1996.47316666667</v>
      </c>
      <c r="D275" s="10" t="n">
        <f aca="false">A275/$D$4</f>
        <v>14.9444444444444</v>
      </c>
      <c r="E275" s="11" t="n">
        <f aca="false">D275*'Karnataka Fuel Rates'!$C$9</f>
        <v>1483.46027777778</v>
      </c>
    </row>
    <row r="276" customFormat="false" ht="15" hidden="false" customHeight="true" outlineLevel="0" collapsed="false">
      <c r="A276" s="1" t="n">
        <v>270</v>
      </c>
      <c r="B276" s="10" t="n">
        <f aca="false">A276/$B$4</f>
        <v>18</v>
      </c>
      <c r="C276" s="11" t="n">
        <f aca="false">B276*'Karnataka Fuel Rates'!$B$9</f>
        <v>2003.895</v>
      </c>
      <c r="D276" s="10" t="n">
        <f aca="false">A276/$D$4</f>
        <v>15</v>
      </c>
      <c r="E276" s="11" t="n">
        <f aca="false">D276*'Karnataka Fuel Rates'!$C$9</f>
        <v>1488.975</v>
      </c>
    </row>
    <row r="277" customFormat="false" ht="15" hidden="false" customHeight="true" outlineLevel="0" collapsed="false">
      <c r="A277" s="1" t="n">
        <v>271</v>
      </c>
      <c r="B277" s="10" t="n">
        <f aca="false">A277/$B$4</f>
        <v>18.0666666666667</v>
      </c>
      <c r="C277" s="11" t="n">
        <f aca="false">B277*'Karnataka Fuel Rates'!$B$9</f>
        <v>2011.31683333333</v>
      </c>
      <c r="D277" s="10" t="n">
        <f aca="false">A277/$D$4</f>
        <v>15.0555555555556</v>
      </c>
      <c r="E277" s="11" t="n">
        <f aca="false">D277*'Karnataka Fuel Rates'!$C$9</f>
        <v>1494.48972222222</v>
      </c>
    </row>
    <row r="278" customFormat="false" ht="15" hidden="false" customHeight="true" outlineLevel="0" collapsed="false">
      <c r="A278" s="1" t="n">
        <v>272</v>
      </c>
      <c r="B278" s="10" t="n">
        <f aca="false">A278/$B$4</f>
        <v>18.1333333333333</v>
      </c>
      <c r="C278" s="11" t="n">
        <f aca="false">B278*'Karnataka Fuel Rates'!$B$9</f>
        <v>2018.73866666667</v>
      </c>
      <c r="D278" s="10" t="n">
        <f aca="false">A278/$D$4</f>
        <v>15.1111111111111</v>
      </c>
      <c r="E278" s="11" t="n">
        <f aca="false">D278*'Karnataka Fuel Rates'!$C$9</f>
        <v>1500.00444444444</v>
      </c>
    </row>
    <row r="279" customFormat="false" ht="15" hidden="false" customHeight="true" outlineLevel="0" collapsed="false">
      <c r="A279" s="1" t="n">
        <v>273</v>
      </c>
      <c r="B279" s="10" t="n">
        <f aca="false">A279/$B$4</f>
        <v>18.2</v>
      </c>
      <c r="C279" s="11" t="n">
        <f aca="false">B279*'Karnataka Fuel Rates'!$B$9</f>
        <v>2026.1605</v>
      </c>
      <c r="D279" s="10" t="n">
        <f aca="false">A279/$D$4</f>
        <v>15.1666666666667</v>
      </c>
      <c r="E279" s="11" t="n">
        <f aca="false">D279*'Karnataka Fuel Rates'!$C$9</f>
        <v>1505.51916666667</v>
      </c>
    </row>
    <row r="280" customFormat="false" ht="15" hidden="false" customHeight="true" outlineLevel="0" collapsed="false">
      <c r="A280" s="1" t="n">
        <v>274</v>
      </c>
      <c r="B280" s="10" t="n">
        <f aca="false">A280/$B$4</f>
        <v>18.2666666666667</v>
      </c>
      <c r="C280" s="11" t="n">
        <f aca="false">B280*'Karnataka Fuel Rates'!$B$9</f>
        <v>2033.58233333333</v>
      </c>
      <c r="D280" s="10" t="n">
        <f aca="false">A280/$D$4</f>
        <v>15.2222222222222</v>
      </c>
      <c r="E280" s="11" t="n">
        <f aca="false">D280*'Karnataka Fuel Rates'!$C$9</f>
        <v>1511.03388888889</v>
      </c>
    </row>
    <row r="281" customFormat="false" ht="15" hidden="false" customHeight="true" outlineLevel="0" collapsed="false">
      <c r="A281" s="1" t="n">
        <v>275</v>
      </c>
      <c r="B281" s="10" t="n">
        <f aca="false">A281/$B$4</f>
        <v>18.3333333333333</v>
      </c>
      <c r="C281" s="11" t="n">
        <f aca="false">B281*'Karnataka Fuel Rates'!$B$9</f>
        <v>2041.00416666667</v>
      </c>
      <c r="D281" s="10" t="n">
        <f aca="false">A281/$D$4</f>
        <v>15.2777777777778</v>
      </c>
      <c r="E281" s="11" t="n">
        <f aca="false">D281*'Karnataka Fuel Rates'!$C$9</f>
        <v>1516.54861111111</v>
      </c>
    </row>
    <row r="282" customFormat="false" ht="15" hidden="false" customHeight="true" outlineLevel="0" collapsed="false">
      <c r="A282" s="1" t="n">
        <v>276</v>
      </c>
      <c r="B282" s="10" t="n">
        <f aca="false">A282/$B$4</f>
        <v>18.4</v>
      </c>
      <c r="C282" s="11" t="n">
        <f aca="false">B282*'Karnataka Fuel Rates'!$B$9</f>
        <v>2048.426</v>
      </c>
      <c r="D282" s="10" t="n">
        <f aca="false">A282/$D$4</f>
        <v>15.3333333333333</v>
      </c>
      <c r="E282" s="11" t="n">
        <f aca="false">D282*'Karnataka Fuel Rates'!$C$9</f>
        <v>1522.06333333333</v>
      </c>
    </row>
    <row r="283" customFormat="false" ht="15" hidden="false" customHeight="true" outlineLevel="0" collapsed="false">
      <c r="A283" s="1" t="n">
        <v>277</v>
      </c>
      <c r="B283" s="10" t="n">
        <f aca="false">A283/$B$4</f>
        <v>18.4666666666667</v>
      </c>
      <c r="C283" s="11" t="n">
        <f aca="false">B283*'Karnataka Fuel Rates'!$B$9</f>
        <v>2055.84783333333</v>
      </c>
      <c r="D283" s="10" t="n">
        <f aca="false">A283/$D$4</f>
        <v>15.3888888888889</v>
      </c>
      <c r="E283" s="11" t="n">
        <f aca="false">D283*'Karnataka Fuel Rates'!$C$9</f>
        <v>1527.57805555556</v>
      </c>
    </row>
    <row r="284" customFormat="false" ht="15" hidden="false" customHeight="true" outlineLevel="0" collapsed="false">
      <c r="A284" s="1" t="n">
        <v>278</v>
      </c>
      <c r="B284" s="10" t="n">
        <f aca="false">A284/$B$4</f>
        <v>18.5333333333333</v>
      </c>
      <c r="C284" s="11" t="n">
        <f aca="false">B284*'Karnataka Fuel Rates'!$B$9</f>
        <v>2063.26966666667</v>
      </c>
      <c r="D284" s="10" t="n">
        <f aca="false">A284/$D$4</f>
        <v>15.4444444444444</v>
      </c>
      <c r="E284" s="11" t="n">
        <f aca="false">D284*'Karnataka Fuel Rates'!$C$9</f>
        <v>1533.09277777778</v>
      </c>
    </row>
    <row r="285" customFormat="false" ht="15" hidden="false" customHeight="true" outlineLevel="0" collapsed="false">
      <c r="A285" s="1" t="n">
        <v>279</v>
      </c>
      <c r="B285" s="10" t="n">
        <f aca="false">A285/$B$4</f>
        <v>18.6</v>
      </c>
      <c r="C285" s="11" t="n">
        <f aca="false">B285*'Karnataka Fuel Rates'!$B$9</f>
        <v>2070.6915</v>
      </c>
      <c r="D285" s="10" t="n">
        <f aca="false">A285/$D$4</f>
        <v>15.5</v>
      </c>
      <c r="E285" s="11" t="n">
        <f aca="false">D285*'Karnataka Fuel Rates'!$C$9</f>
        <v>1538.6075</v>
      </c>
    </row>
    <row r="286" customFormat="false" ht="15" hidden="false" customHeight="true" outlineLevel="0" collapsed="false">
      <c r="A286" s="1" t="n">
        <v>280</v>
      </c>
      <c r="B286" s="10" t="n">
        <f aca="false">A286/$B$4</f>
        <v>18.6666666666667</v>
      </c>
      <c r="C286" s="11" t="n">
        <f aca="false">B286*'Karnataka Fuel Rates'!$B$9</f>
        <v>2078.11333333333</v>
      </c>
      <c r="D286" s="10" t="n">
        <f aca="false">A286/$D$4</f>
        <v>15.5555555555556</v>
      </c>
      <c r="E286" s="11" t="n">
        <f aca="false">D286*'Karnataka Fuel Rates'!$C$9</f>
        <v>1544.12222222222</v>
      </c>
    </row>
    <row r="287" customFormat="false" ht="15" hidden="false" customHeight="true" outlineLevel="0" collapsed="false">
      <c r="A287" s="1" t="n">
        <v>281</v>
      </c>
      <c r="B287" s="10" t="n">
        <f aca="false">A287/$B$4</f>
        <v>18.7333333333333</v>
      </c>
      <c r="C287" s="11" t="n">
        <f aca="false">B287*'Karnataka Fuel Rates'!$B$9</f>
        <v>2085.53516666667</v>
      </c>
      <c r="D287" s="10" t="n">
        <f aca="false">A287/$D$4</f>
        <v>15.6111111111111</v>
      </c>
      <c r="E287" s="11" t="n">
        <f aca="false">D287*'Karnataka Fuel Rates'!$C$9</f>
        <v>1549.63694444444</v>
      </c>
    </row>
    <row r="288" customFormat="false" ht="15" hidden="false" customHeight="true" outlineLevel="0" collapsed="false">
      <c r="A288" s="1" t="n">
        <v>282</v>
      </c>
      <c r="B288" s="10" t="n">
        <f aca="false">A288/$B$4</f>
        <v>18.8</v>
      </c>
      <c r="C288" s="11" t="n">
        <f aca="false">B288*'Karnataka Fuel Rates'!$B$9</f>
        <v>2092.957</v>
      </c>
      <c r="D288" s="10" t="n">
        <f aca="false">A288/$D$4</f>
        <v>15.6666666666667</v>
      </c>
      <c r="E288" s="11" t="n">
        <f aca="false">D288*'Karnataka Fuel Rates'!$C$9</f>
        <v>1555.15166666667</v>
      </c>
    </row>
    <row r="289" customFormat="false" ht="15" hidden="false" customHeight="true" outlineLevel="0" collapsed="false">
      <c r="A289" s="1" t="n">
        <v>283</v>
      </c>
      <c r="B289" s="10" t="n">
        <f aca="false">A289/$B$4</f>
        <v>18.8666666666667</v>
      </c>
      <c r="C289" s="11" t="n">
        <f aca="false">B289*'Karnataka Fuel Rates'!$B$9</f>
        <v>2100.37883333333</v>
      </c>
      <c r="D289" s="10" t="n">
        <f aca="false">A289/$D$4</f>
        <v>15.7222222222222</v>
      </c>
      <c r="E289" s="11" t="n">
        <f aca="false">D289*'Karnataka Fuel Rates'!$C$9</f>
        <v>1560.66638888889</v>
      </c>
    </row>
    <row r="290" customFormat="false" ht="15" hidden="false" customHeight="true" outlineLevel="0" collapsed="false">
      <c r="A290" s="1" t="n">
        <v>284</v>
      </c>
      <c r="B290" s="10" t="n">
        <f aca="false">A290/$B$4</f>
        <v>18.9333333333333</v>
      </c>
      <c r="C290" s="11" t="n">
        <f aca="false">B290*'Karnataka Fuel Rates'!$B$9</f>
        <v>2107.80066666667</v>
      </c>
      <c r="D290" s="10" t="n">
        <f aca="false">A290/$D$4</f>
        <v>15.7777777777778</v>
      </c>
      <c r="E290" s="11" t="n">
        <f aca="false">D290*'Karnataka Fuel Rates'!$C$9</f>
        <v>1566.18111111111</v>
      </c>
    </row>
    <row r="291" customFormat="false" ht="15" hidden="false" customHeight="true" outlineLevel="0" collapsed="false">
      <c r="A291" s="1" t="n">
        <v>285</v>
      </c>
      <c r="B291" s="10" t="n">
        <f aca="false">A291/$B$4</f>
        <v>19</v>
      </c>
      <c r="C291" s="11" t="n">
        <f aca="false">B291*'Karnataka Fuel Rates'!$B$9</f>
        <v>2115.2225</v>
      </c>
      <c r="D291" s="10" t="n">
        <f aca="false">A291/$D$4</f>
        <v>15.8333333333333</v>
      </c>
      <c r="E291" s="11" t="n">
        <f aca="false">D291*'Karnataka Fuel Rates'!$C$9</f>
        <v>1571.69583333333</v>
      </c>
    </row>
    <row r="292" customFormat="false" ht="15" hidden="false" customHeight="true" outlineLevel="0" collapsed="false">
      <c r="A292" s="1" t="n">
        <v>286</v>
      </c>
      <c r="B292" s="10" t="n">
        <f aca="false">A292/$B$4</f>
        <v>19.0666666666667</v>
      </c>
      <c r="C292" s="11" t="n">
        <f aca="false">B292*'Karnataka Fuel Rates'!$B$9</f>
        <v>2122.64433333333</v>
      </c>
      <c r="D292" s="10" t="n">
        <f aca="false">A292/$D$4</f>
        <v>15.8888888888889</v>
      </c>
      <c r="E292" s="11" t="n">
        <f aca="false">D292*'Karnataka Fuel Rates'!$C$9</f>
        <v>1577.21055555556</v>
      </c>
    </row>
    <row r="293" customFormat="false" ht="15" hidden="false" customHeight="true" outlineLevel="0" collapsed="false">
      <c r="A293" s="1" t="n">
        <v>287</v>
      </c>
      <c r="B293" s="10" t="n">
        <f aca="false">A293/$B$4</f>
        <v>19.1333333333333</v>
      </c>
      <c r="C293" s="11" t="n">
        <f aca="false">B293*'Karnataka Fuel Rates'!$B$9</f>
        <v>2130.06616666667</v>
      </c>
      <c r="D293" s="10" t="n">
        <f aca="false">A293/$D$4</f>
        <v>15.9444444444444</v>
      </c>
      <c r="E293" s="11" t="n">
        <f aca="false">D293*'Karnataka Fuel Rates'!$C$9</f>
        <v>1582.72527777778</v>
      </c>
    </row>
    <row r="294" customFormat="false" ht="15" hidden="false" customHeight="true" outlineLevel="0" collapsed="false">
      <c r="A294" s="1" t="n">
        <v>288</v>
      </c>
      <c r="B294" s="10" t="n">
        <f aca="false">A294/$B$4</f>
        <v>19.2</v>
      </c>
      <c r="C294" s="11" t="n">
        <f aca="false">B294*'Karnataka Fuel Rates'!$B$9</f>
        <v>2137.488</v>
      </c>
      <c r="D294" s="10" t="n">
        <f aca="false">A294/$D$4</f>
        <v>16</v>
      </c>
      <c r="E294" s="11" t="n">
        <f aca="false">D294*'Karnataka Fuel Rates'!$C$9</f>
        <v>1588.24</v>
      </c>
    </row>
    <row r="295" customFormat="false" ht="15" hidden="false" customHeight="true" outlineLevel="0" collapsed="false">
      <c r="A295" s="1" t="n">
        <v>289</v>
      </c>
      <c r="B295" s="10" t="n">
        <f aca="false">A295/$B$4</f>
        <v>19.2666666666667</v>
      </c>
      <c r="C295" s="11" t="n">
        <f aca="false">B295*'Karnataka Fuel Rates'!$B$9</f>
        <v>2144.90983333333</v>
      </c>
      <c r="D295" s="10" t="n">
        <f aca="false">A295/$D$4</f>
        <v>16.0555555555556</v>
      </c>
      <c r="E295" s="11" t="n">
        <f aca="false">D295*'Karnataka Fuel Rates'!$C$9</f>
        <v>1593.75472222222</v>
      </c>
    </row>
    <row r="296" customFormat="false" ht="15" hidden="false" customHeight="true" outlineLevel="0" collapsed="false">
      <c r="A296" s="1" t="n">
        <v>290</v>
      </c>
      <c r="B296" s="10" t="n">
        <f aca="false">A296/$B$4</f>
        <v>19.3333333333333</v>
      </c>
      <c r="C296" s="11" t="n">
        <f aca="false">B296*'Karnataka Fuel Rates'!$B$9</f>
        <v>2152.33166666667</v>
      </c>
      <c r="D296" s="10" t="n">
        <f aca="false">A296/$D$4</f>
        <v>16.1111111111111</v>
      </c>
      <c r="E296" s="11" t="n">
        <f aca="false">D296*'Karnataka Fuel Rates'!$C$9</f>
        <v>1599.26944444444</v>
      </c>
    </row>
    <row r="297" customFormat="false" ht="15" hidden="false" customHeight="true" outlineLevel="0" collapsed="false">
      <c r="A297" s="1" t="n">
        <v>291</v>
      </c>
      <c r="B297" s="10" t="n">
        <f aca="false">A297/$B$4</f>
        <v>19.4</v>
      </c>
      <c r="C297" s="11" t="n">
        <f aca="false">B297*'Karnataka Fuel Rates'!$B$9</f>
        <v>2159.7535</v>
      </c>
      <c r="D297" s="10" t="n">
        <f aca="false">A297/$D$4</f>
        <v>16.1666666666667</v>
      </c>
      <c r="E297" s="11" t="n">
        <f aca="false">D297*'Karnataka Fuel Rates'!$C$9</f>
        <v>1604.78416666667</v>
      </c>
    </row>
    <row r="298" customFormat="false" ht="15" hidden="false" customHeight="true" outlineLevel="0" collapsed="false">
      <c r="A298" s="1" t="n">
        <v>292</v>
      </c>
      <c r="B298" s="10" t="n">
        <f aca="false">A298/$B$4</f>
        <v>19.4666666666667</v>
      </c>
      <c r="C298" s="11" t="n">
        <f aca="false">B298*'Karnataka Fuel Rates'!$B$9</f>
        <v>2167.17533333333</v>
      </c>
      <c r="D298" s="10" t="n">
        <f aca="false">A298/$D$4</f>
        <v>16.2222222222222</v>
      </c>
      <c r="E298" s="11" t="n">
        <f aca="false">D298*'Karnataka Fuel Rates'!$C$9</f>
        <v>1610.29888888889</v>
      </c>
    </row>
    <row r="299" customFormat="false" ht="15" hidden="false" customHeight="true" outlineLevel="0" collapsed="false">
      <c r="A299" s="1" t="n">
        <v>293</v>
      </c>
      <c r="B299" s="10" t="n">
        <f aca="false">A299/$B$4</f>
        <v>19.5333333333333</v>
      </c>
      <c r="C299" s="11" t="n">
        <f aca="false">B299*'Karnataka Fuel Rates'!$B$9</f>
        <v>2174.59716666667</v>
      </c>
      <c r="D299" s="10" t="n">
        <f aca="false">A299/$D$4</f>
        <v>16.2777777777778</v>
      </c>
      <c r="E299" s="11" t="n">
        <f aca="false">D299*'Karnataka Fuel Rates'!$C$9</f>
        <v>1615.81361111111</v>
      </c>
    </row>
    <row r="300" customFormat="false" ht="15" hidden="false" customHeight="true" outlineLevel="0" collapsed="false">
      <c r="A300" s="1" t="n">
        <v>294</v>
      </c>
      <c r="B300" s="10" t="n">
        <f aca="false">A300/$B$4</f>
        <v>19.6</v>
      </c>
      <c r="C300" s="11" t="n">
        <f aca="false">B300*'Karnataka Fuel Rates'!$B$9</f>
        <v>2182.019</v>
      </c>
      <c r="D300" s="10" t="n">
        <f aca="false">A300/$D$4</f>
        <v>16.3333333333333</v>
      </c>
      <c r="E300" s="11" t="n">
        <f aca="false">D300*'Karnataka Fuel Rates'!$C$9</f>
        <v>1621.32833333333</v>
      </c>
    </row>
    <row r="301" customFormat="false" ht="15" hidden="false" customHeight="true" outlineLevel="0" collapsed="false">
      <c r="A301" s="1" t="n">
        <v>295</v>
      </c>
      <c r="B301" s="10" t="n">
        <f aca="false">A301/$B$4</f>
        <v>19.6666666666667</v>
      </c>
      <c r="C301" s="11" t="n">
        <f aca="false">B301*'Karnataka Fuel Rates'!$B$9</f>
        <v>2189.44083333333</v>
      </c>
      <c r="D301" s="10" t="n">
        <f aca="false">A301/$D$4</f>
        <v>16.3888888888889</v>
      </c>
      <c r="E301" s="11" t="n">
        <f aca="false">D301*'Karnataka Fuel Rates'!$C$9</f>
        <v>1626.84305555556</v>
      </c>
    </row>
    <row r="302" customFormat="false" ht="15" hidden="false" customHeight="true" outlineLevel="0" collapsed="false">
      <c r="A302" s="1" t="n">
        <v>296</v>
      </c>
      <c r="B302" s="10" t="n">
        <f aca="false">A302/$B$4</f>
        <v>19.7333333333333</v>
      </c>
      <c r="C302" s="11" t="n">
        <f aca="false">B302*'Karnataka Fuel Rates'!$B$9</f>
        <v>2196.86266666667</v>
      </c>
      <c r="D302" s="10" t="n">
        <f aca="false">A302/$D$4</f>
        <v>16.4444444444444</v>
      </c>
      <c r="E302" s="11" t="n">
        <f aca="false">D302*'Karnataka Fuel Rates'!$C$9</f>
        <v>1632.35777777778</v>
      </c>
    </row>
    <row r="303" customFormat="false" ht="15" hidden="false" customHeight="true" outlineLevel="0" collapsed="false">
      <c r="A303" s="1" t="n">
        <v>297</v>
      </c>
      <c r="B303" s="10" t="n">
        <f aca="false">A303/$B$4</f>
        <v>19.8</v>
      </c>
      <c r="C303" s="11" t="n">
        <f aca="false">B303*'Karnataka Fuel Rates'!$B$9</f>
        <v>2204.2845</v>
      </c>
      <c r="D303" s="10" t="n">
        <f aca="false">A303/$D$4</f>
        <v>16.5</v>
      </c>
      <c r="E303" s="11" t="n">
        <f aca="false">D303*'Karnataka Fuel Rates'!$C$9</f>
        <v>1637.8725</v>
      </c>
    </row>
    <row r="304" customFormat="false" ht="15" hidden="false" customHeight="true" outlineLevel="0" collapsed="false">
      <c r="A304" s="1" t="n">
        <v>298</v>
      </c>
      <c r="B304" s="10" t="n">
        <f aca="false">A304/$B$4</f>
        <v>19.8666666666667</v>
      </c>
      <c r="C304" s="11" t="n">
        <f aca="false">B304*'Karnataka Fuel Rates'!$B$9</f>
        <v>2211.70633333333</v>
      </c>
      <c r="D304" s="10" t="n">
        <f aca="false">A304/$D$4</f>
        <v>16.5555555555556</v>
      </c>
      <c r="E304" s="11" t="n">
        <f aca="false">D304*'Karnataka Fuel Rates'!$C$9</f>
        <v>1643.38722222222</v>
      </c>
    </row>
    <row r="305" customFormat="false" ht="15" hidden="false" customHeight="true" outlineLevel="0" collapsed="false">
      <c r="A305" s="1" t="n">
        <v>299</v>
      </c>
      <c r="B305" s="10" t="n">
        <f aca="false">A305/$B$4</f>
        <v>19.9333333333333</v>
      </c>
      <c r="C305" s="11" t="n">
        <f aca="false">B305*'Karnataka Fuel Rates'!$B$9</f>
        <v>2219.12816666667</v>
      </c>
      <c r="D305" s="10" t="n">
        <f aca="false">A305/$D$4</f>
        <v>16.6111111111111</v>
      </c>
      <c r="E305" s="11" t="n">
        <f aca="false">D305*'Karnataka Fuel Rates'!$C$9</f>
        <v>1648.90194444444</v>
      </c>
    </row>
    <row r="306" customFormat="false" ht="15" hidden="false" customHeight="true" outlineLevel="0" collapsed="false">
      <c r="A306" s="1" t="n">
        <v>300</v>
      </c>
      <c r="B306" s="10" t="n">
        <f aca="false">A306/$B$4</f>
        <v>20</v>
      </c>
      <c r="C306" s="11" t="n">
        <f aca="false">B306*'Karnataka Fuel Rates'!$B$9</f>
        <v>2226.55</v>
      </c>
      <c r="D306" s="10" t="n">
        <f aca="false">A306/$D$4</f>
        <v>16.6666666666667</v>
      </c>
      <c r="E306" s="11" t="n">
        <f aca="false">D306*'Karnataka Fuel Rates'!$C$9</f>
        <v>1654.41666666667</v>
      </c>
    </row>
    <row r="307" customFormat="false" ht="15" hidden="false" customHeight="true" outlineLevel="0" collapsed="false">
      <c r="A307" s="1" t="n">
        <v>301</v>
      </c>
      <c r="B307" s="10" t="n">
        <f aca="false">A307/$B$4</f>
        <v>20.0666666666667</v>
      </c>
      <c r="C307" s="11" t="n">
        <f aca="false">B307*'Karnataka Fuel Rates'!$B$9</f>
        <v>2233.97183333333</v>
      </c>
      <c r="D307" s="10" t="n">
        <f aca="false">A307/$D$4</f>
        <v>16.7222222222222</v>
      </c>
      <c r="E307" s="11" t="n">
        <f aca="false">D307*'Karnataka Fuel Rates'!$C$9</f>
        <v>1659.93138888889</v>
      </c>
    </row>
    <row r="308" customFormat="false" ht="15" hidden="false" customHeight="true" outlineLevel="0" collapsed="false">
      <c r="A308" s="1" t="n">
        <v>302</v>
      </c>
      <c r="B308" s="10" t="n">
        <f aca="false">A308/$B$4</f>
        <v>20.1333333333333</v>
      </c>
      <c r="C308" s="11" t="n">
        <f aca="false">B308*'Karnataka Fuel Rates'!$B$9</f>
        <v>2241.39366666667</v>
      </c>
      <c r="D308" s="10" t="n">
        <f aca="false">A308/$D$4</f>
        <v>16.7777777777778</v>
      </c>
      <c r="E308" s="11" t="n">
        <f aca="false">D308*'Karnataka Fuel Rates'!$C$9</f>
        <v>1665.44611111111</v>
      </c>
    </row>
    <row r="309" customFormat="false" ht="15" hidden="false" customHeight="true" outlineLevel="0" collapsed="false">
      <c r="A309" s="1" t="n">
        <v>303</v>
      </c>
      <c r="B309" s="10" t="n">
        <f aca="false">A309/$B$4</f>
        <v>20.2</v>
      </c>
      <c r="C309" s="11" t="n">
        <f aca="false">B309*'Karnataka Fuel Rates'!$B$9</f>
        <v>2248.8155</v>
      </c>
      <c r="D309" s="10" t="n">
        <f aca="false">A309/$D$4</f>
        <v>16.8333333333333</v>
      </c>
      <c r="E309" s="11" t="n">
        <f aca="false">D309*'Karnataka Fuel Rates'!$C$9</f>
        <v>1670.96083333333</v>
      </c>
    </row>
    <row r="310" customFormat="false" ht="15" hidden="false" customHeight="true" outlineLevel="0" collapsed="false">
      <c r="A310" s="1" t="n">
        <v>304</v>
      </c>
      <c r="B310" s="10" t="n">
        <f aca="false">A310/$B$4</f>
        <v>20.2666666666667</v>
      </c>
      <c r="C310" s="11" t="n">
        <f aca="false">B310*'Karnataka Fuel Rates'!$B$9</f>
        <v>2256.23733333333</v>
      </c>
      <c r="D310" s="10" t="n">
        <f aca="false">A310/$D$4</f>
        <v>16.8888888888889</v>
      </c>
      <c r="E310" s="11" t="n">
        <f aca="false">D310*'Karnataka Fuel Rates'!$C$9</f>
        <v>1676.47555555556</v>
      </c>
    </row>
    <row r="311" customFormat="false" ht="15" hidden="false" customHeight="true" outlineLevel="0" collapsed="false">
      <c r="A311" s="1" t="n">
        <v>305</v>
      </c>
      <c r="B311" s="10" t="n">
        <f aca="false">A311/$B$4</f>
        <v>20.3333333333333</v>
      </c>
      <c r="C311" s="11" t="n">
        <f aca="false">B311*'Karnataka Fuel Rates'!$B$9</f>
        <v>2263.65916666667</v>
      </c>
      <c r="D311" s="10" t="n">
        <f aca="false">A311/$D$4</f>
        <v>16.9444444444444</v>
      </c>
      <c r="E311" s="11" t="n">
        <f aca="false">D311*'Karnataka Fuel Rates'!$C$9</f>
        <v>1681.99027777778</v>
      </c>
    </row>
    <row r="312" customFormat="false" ht="15" hidden="false" customHeight="true" outlineLevel="0" collapsed="false">
      <c r="A312" s="1" t="n">
        <v>306</v>
      </c>
      <c r="B312" s="10" t="n">
        <f aca="false">A312/$B$4</f>
        <v>20.4</v>
      </c>
      <c r="C312" s="11" t="n">
        <f aca="false">B312*'Karnataka Fuel Rates'!$B$9</f>
        <v>2271.081</v>
      </c>
      <c r="D312" s="10" t="n">
        <f aca="false">A312/$D$4</f>
        <v>17</v>
      </c>
      <c r="E312" s="11" t="n">
        <f aca="false">D312*'Karnataka Fuel Rates'!$C$9</f>
        <v>1687.505</v>
      </c>
    </row>
    <row r="313" customFormat="false" ht="15" hidden="false" customHeight="true" outlineLevel="0" collapsed="false">
      <c r="A313" s="1" t="n">
        <v>307</v>
      </c>
      <c r="B313" s="10" t="n">
        <f aca="false">A313/$B$4</f>
        <v>20.4666666666667</v>
      </c>
      <c r="C313" s="11" t="n">
        <f aca="false">B313*'Karnataka Fuel Rates'!$B$9</f>
        <v>2278.50283333333</v>
      </c>
      <c r="D313" s="10" t="n">
        <f aca="false">A313/$D$4</f>
        <v>17.0555555555556</v>
      </c>
      <c r="E313" s="11" t="n">
        <f aca="false">D313*'Karnataka Fuel Rates'!$C$9</f>
        <v>1693.01972222222</v>
      </c>
    </row>
    <row r="314" customFormat="false" ht="15" hidden="false" customHeight="true" outlineLevel="0" collapsed="false">
      <c r="A314" s="1" t="n">
        <v>308</v>
      </c>
      <c r="B314" s="10" t="n">
        <f aca="false">A314/$B$4</f>
        <v>20.5333333333333</v>
      </c>
      <c r="C314" s="11" t="n">
        <f aca="false">B314*'Karnataka Fuel Rates'!$B$9</f>
        <v>2285.92466666667</v>
      </c>
      <c r="D314" s="10" t="n">
        <f aca="false">A314/$D$4</f>
        <v>17.1111111111111</v>
      </c>
      <c r="E314" s="11" t="n">
        <f aca="false">D314*'Karnataka Fuel Rates'!$C$9</f>
        <v>1698.53444444444</v>
      </c>
    </row>
    <row r="315" customFormat="false" ht="15" hidden="false" customHeight="true" outlineLevel="0" collapsed="false">
      <c r="A315" s="1" t="n">
        <v>309</v>
      </c>
      <c r="B315" s="10" t="n">
        <f aca="false">A315/$B$4</f>
        <v>20.6</v>
      </c>
      <c r="C315" s="11" t="n">
        <f aca="false">B315*'Karnataka Fuel Rates'!$B$9</f>
        <v>2293.3465</v>
      </c>
      <c r="D315" s="10" t="n">
        <f aca="false">A315/$D$4</f>
        <v>17.1666666666667</v>
      </c>
      <c r="E315" s="11" t="n">
        <f aca="false">D315*'Karnataka Fuel Rates'!$C$9</f>
        <v>1704.04916666667</v>
      </c>
    </row>
    <row r="316" customFormat="false" ht="15" hidden="false" customHeight="true" outlineLevel="0" collapsed="false">
      <c r="A316" s="1" t="n">
        <v>310</v>
      </c>
      <c r="B316" s="10" t="n">
        <f aca="false">A316/$B$4</f>
        <v>20.6666666666667</v>
      </c>
      <c r="C316" s="11" t="n">
        <f aca="false">B316*'Karnataka Fuel Rates'!$B$9</f>
        <v>2300.76833333333</v>
      </c>
      <c r="D316" s="10" t="n">
        <f aca="false">A316/$D$4</f>
        <v>17.2222222222222</v>
      </c>
      <c r="E316" s="11" t="n">
        <f aca="false">D316*'Karnataka Fuel Rates'!$C$9</f>
        <v>1709.56388888889</v>
      </c>
    </row>
    <row r="317" customFormat="false" ht="15" hidden="false" customHeight="true" outlineLevel="0" collapsed="false">
      <c r="A317" s="1" t="n">
        <v>311</v>
      </c>
      <c r="B317" s="10" t="n">
        <f aca="false">A317/$B$4</f>
        <v>20.7333333333333</v>
      </c>
      <c r="C317" s="11" t="n">
        <f aca="false">B317*'Karnataka Fuel Rates'!$B$9</f>
        <v>2308.19016666667</v>
      </c>
      <c r="D317" s="10" t="n">
        <f aca="false">A317/$D$4</f>
        <v>17.2777777777778</v>
      </c>
      <c r="E317" s="11" t="n">
        <f aca="false">D317*'Karnataka Fuel Rates'!$C$9</f>
        <v>1715.07861111111</v>
      </c>
    </row>
    <row r="318" customFormat="false" ht="15" hidden="false" customHeight="true" outlineLevel="0" collapsed="false">
      <c r="A318" s="1" t="n">
        <v>312</v>
      </c>
      <c r="B318" s="10" t="n">
        <f aca="false">A318/$B$4</f>
        <v>20.8</v>
      </c>
      <c r="C318" s="11" t="n">
        <f aca="false">B318*'Karnataka Fuel Rates'!$B$9</f>
        <v>2315.612</v>
      </c>
      <c r="D318" s="10" t="n">
        <f aca="false">A318/$D$4</f>
        <v>17.3333333333333</v>
      </c>
      <c r="E318" s="11" t="n">
        <f aca="false">D318*'Karnataka Fuel Rates'!$C$9</f>
        <v>1720.59333333333</v>
      </c>
    </row>
    <row r="319" customFormat="false" ht="15" hidden="false" customHeight="true" outlineLevel="0" collapsed="false">
      <c r="A319" s="1" t="n">
        <v>313</v>
      </c>
      <c r="B319" s="10" t="n">
        <f aca="false">A319/$B$4</f>
        <v>20.8666666666667</v>
      </c>
      <c r="C319" s="11" t="n">
        <f aca="false">B319*'Karnataka Fuel Rates'!$B$9</f>
        <v>2323.03383333333</v>
      </c>
      <c r="D319" s="10" t="n">
        <f aca="false">A319/$D$4</f>
        <v>17.3888888888889</v>
      </c>
      <c r="E319" s="11" t="n">
        <f aca="false">D319*'Karnataka Fuel Rates'!$C$9</f>
        <v>1726.10805555556</v>
      </c>
    </row>
    <row r="320" customFormat="false" ht="15" hidden="false" customHeight="true" outlineLevel="0" collapsed="false">
      <c r="A320" s="1" t="n">
        <v>314</v>
      </c>
      <c r="B320" s="10" t="n">
        <f aca="false">A320/$B$4</f>
        <v>20.9333333333333</v>
      </c>
      <c r="C320" s="11" t="n">
        <f aca="false">B320*'Karnataka Fuel Rates'!$B$9</f>
        <v>2330.45566666667</v>
      </c>
      <c r="D320" s="10" t="n">
        <f aca="false">A320/$D$4</f>
        <v>17.4444444444444</v>
      </c>
      <c r="E320" s="11" t="n">
        <f aca="false">D320*'Karnataka Fuel Rates'!$C$9</f>
        <v>1731.62277777778</v>
      </c>
    </row>
    <row r="321" customFormat="false" ht="15" hidden="false" customHeight="true" outlineLevel="0" collapsed="false">
      <c r="A321" s="1" t="n">
        <v>315</v>
      </c>
      <c r="B321" s="10" t="n">
        <f aca="false">A321/$B$4</f>
        <v>21</v>
      </c>
      <c r="C321" s="11" t="n">
        <f aca="false">B321*'Karnataka Fuel Rates'!$B$9</f>
        <v>2337.8775</v>
      </c>
      <c r="D321" s="10" t="n">
        <f aca="false">A321/$D$4</f>
        <v>17.5</v>
      </c>
      <c r="E321" s="11" t="n">
        <f aca="false">D321*'Karnataka Fuel Rates'!$C$9</f>
        <v>1737.1375</v>
      </c>
    </row>
    <row r="322" customFormat="false" ht="15" hidden="false" customHeight="true" outlineLevel="0" collapsed="false">
      <c r="A322" s="1" t="n">
        <v>316</v>
      </c>
      <c r="B322" s="10" t="n">
        <f aca="false">A322/$B$4</f>
        <v>21.0666666666667</v>
      </c>
      <c r="C322" s="11" t="n">
        <f aca="false">B322*'Karnataka Fuel Rates'!$B$9</f>
        <v>2345.29933333333</v>
      </c>
      <c r="D322" s="10" t="n">
        <f aca="false">A322/$D$4</f>
        <v>17.5555555555556</v>
      </c>
      <c r="E322" s="11" t="n">
        <f aca="false">D322*'Karnataka Fuel Rates'!$C$9</f>
        <v>1742.65222222222</v>
      </c>
    </row>
    <row r="323" customFormat="false" ht="15" hidden="false" customHeight="true" outlineLevel="0" collapsed="false">
      <c r="A323" s="1" t="n">
        <v>317</v>
      </c>
      <c r="B323" s="10" t="n">
        <f aca="false">A323/$B$4</f>
        <v>21.1333333333333</v>
      </c>
      <c r="C323" s="11" t="n">
        <f aca="false">B323*'Karnataka Fuel Rates'!$B$9</f>
        <v>2352.72116666667</v>
      </c>
      <c r="D323" s="10" t="n">
        <f aca="false">A323/$D$4</f>
        <v>17.6111111111111</v>
      </c>
      <c r="E323" s="11" t="n">
        <f aca="false">D323*'Karnataka Fuel Rates'!$C$9</f>
        <v>1748.16694444444</v>
      </c>
    </row>
    <row r="324" customFormat="false" ht="15" hidden="false" customHeight="true" outlineLevel="0" collapsed="false">
      <c r="A324" s="1" t="n">
        <v>318</v>
      </c>
      <c r="B324" s="10" t="n">
        <f aca="false">A324/$B$4</f>
        <v>21.2</v>
      </c>
      <c r="C324" s="11" t="n">
        <f aca="false">B324*'Karnataka Fuel Rates'!$B$9</f>
        <v>2360.143</v>
      </c>
      <c r="D324" s="10" t="n">
        <f aca="false">A324/$D$4</f>
        <v>17.6666666666667</v>
      </c>
      <c r="E324" s="11" t="n">
        <f aca="false">D324*'Karnataka Fuel Rates'!$C$9</f>
        <v>1753.68166666667</v>
      </c>
    </row>
    <row r="325" customFormat="false" ht="15" hidden="false" customHeight="true" outlineLevel="0" collapsed="false">
      <c r="A325" s="1" t="n">
        <v>319</v>
      </c>
      <c r="B325" s="10" t="n">
        <f aca="false">A325/$B$4</f>
        <v>21.2666666666667</v>
      </c>
      <c r="C325" s="11" t="n">
        <f aca="false">B325*'Karnataka Fuel Rates'!$B$9</f>
        <v>2367.56483333333</v>
      </c>
      <c r="D325" s="10" t="n">
        <f aca="false">A325/$D$4</f>
        <v>17.7222222222222</v>
      </c>
      <c r="E325" s="11" t="n">
        <f aca="false">D325*'Karnataka Fuel Rates'!$C$9</f>
        <v>1759.19638888889</v>
      </c>
    </row>
    <row r="326" customFormat="false" ht="15" hidden="false" customHeight="true" outlineLevel="0" collapsed="false">
      <c r="A326" s="1" t="n">
        <v>320</v>
      </c>
      <c r="B326" s="10" t="n">
        <f aca="false">A326/$B$4</f>
        <v>21.3333333333333</v>
      </c>
      <c r="C326" s="11" t="n">
        <f aca="false">B326*'Karnataka Fuel Rates'!$B$9</f>
        <v>2374.98666666667</v>
      </c>
      <c r="D326" s="10" t="n">
        <f aca="false">A326/$D$4</f>
        <v>17.7777777777778</v>
      </c>
      <c r="E326" s="11" t="n">
        <f aca="false">D326*'Karnataka Fuel Rates'!$C$9</f>
        <v>1764.71111111111</v>
      </c>
    </row>
    <row r="327" customFormat="false" ht="15" hidden="false" customHeight="true" outlineLevel="0" collapsed="false">
      <c r="A327" s="1" t="n">
        <v>321</v>
      </c>
      <c r="B327" s="10" t="n">
        <f aca="false">A327/$B$4</f>
        <v>21.4</v>
      </c>
      <c r="C327" s="11" t="n">
        <f aca="false">B327*'Karnataka Fuel Rates'!$B$9</f>
        <v>2382.4085</v>
      </c>
      <c r="D327" s="10" t="n">
        <f aca="false">A327/$D$4</f>
        <v>17.8333333333333</v>
      </c>
      <c r="E327" s="11" t="n">
        <f aca="false">D327*'Karnataka Fuel Rates'!$C$9</f>
        <v>1770.22583333333</v>
      </c>
    </row>
    <row r="328" customFormat="false" ht="15" hidden="false" customHeight="true" outlineLevel="0" collapsed="false">
      <c r="A328" s="1" t="n">
        <v>322</v>
      </c>
      <c r="B328" s="10" t="n">
        <f aca="false">A328/$B$4</f>
        <v>21.4666666666667</v>
      </c>
      <c r="C328" s="11" t="n">
        <f aca="false">B328*'Karnataka Fuel Rates'!$B$9</f>
        <v>2389.83033333333</v>
      </c>
      <c r="D328" s="10" t="n">
        <f aca="false">A328/$D$4</f>
        <v>17.8888888888889</v>
      </c>
      <c r="E328" s="11" t="n">
        <f aca="false">D328*'Karnataka Fuel Rates'!$C$9</f>
        <v>1775.74055555556</v>
      </c>
    </row>
    <row r="329" customFormat="false" ht="15" hidden="false" customHeight="true" outlineLevel="0" collapsed="false">
      <c r="A329" s="1" t="n">
        <v>323</v>
      </c>
      <c r="B329" s="10" t="n">
        <f aca="false">A329/$B$4</f>
        <v>21.5333333333333</v>
      </c>
      <c r="C329" s="11" t="n">
        <f aca="false">B329*'Karnataka Fuel Rates'!$B$9</f>
        <v>2397.25216666667</v>
      </c>
      <c r="D329" s="10" t="n">
        <f aca="false">A329/$D$4</f>
        <v>17.9444444444444</v>
      </c>
      <c r="E329" s="11" t="n">
        <f aca="false">D329*'Karnataka Fuel Rates'!$C$9</f>
        <v>1781.25527777778</v>
      </c>
    </row>
    <row r="330" customFormat="false" ht="15" hidden="false" customHeight="true" outlineLevel="0" collapsed="false">
      <c r="A330" s="1" t="n">
        <v>324</v>
      </c>
      <c r="B330" s="10" t="n">
        <f aca="false">A330/$B$4</f>
        <v>21.6</v>
      </c>
      <c r="C330" s="11" t="n">
        <f aca="false">B330*'Karnataka Fuel Rates'!$B$9</f>
        <v>2404.674</v>
      </c>
      <c r="D330" s="10" t="n">
        <f aca="false">A330/$D$4</f>
        <v>18</v>
      </c>
      <c r="E330" s="11" t="n">
        <f aca="false">D330*'Karnataka Fuel Rates'!$C$9</f>
        <v>1786.77</v>
      </c>
    </row>
    <row r="331" customFormat="false" ht="15" hidden="false" customHeight="true" outlineLevel="0" collapsed="false">
      <c r="A331" s="1" t="n">
        <v>325</v>
      </c>
      <c r="B331" s="10" t="n">
        <f aca="false">A331/$B$4</f>
        <v>21.6666666666667</v>
      </c>
      <c r="C331" s="11" t="n">
        <f aca="false">B331*'Karnataka Fuel Rates'!$B$9</f>
        <v>2412.09583333333</v>
      </c>
      <c r="D331" s="10" t="n">
        <f aca="false">A331/$D$4</f>
        <v>18.0555555555556</v>
      </c>
      <c r="E331" s="11" t="n">
        <f aca="false">D331*'Karnataka Fuel Rates'!$C$9</f>
        <v>1792.28472222222</v>
      </c>
    </row>
    <row r="332" customFormat="false" ht="15" hidden="false" customHeight="true" outlineLevel="0" collapsed="false">
      <c r="A332" s="1" t="n">
        <v>326</v>
      </c>
      <c r="B332" s="10" t="n">
        <f aca="false">A332/$B$4</f>
        <v>21.7333333333333</v>
      </c>
      <c r="C332" s="11" t="n">
        <f aca="false">B332*'Karnataka Fuel Rates'!$B$9</f>
        <v>2419.51766666667</v>
      </c>
      <c r="D332" s="10" t="n">
        <f aca="false">A332/$D$4</f>
        <v>18.1111111111111</v>
      </c>
      <c r="E332" s="11" t="n">
        <f aca="false">D332*'Karnataka Fuel Rates'!$C$9</f>
        <v>1797.79944444444</v>
      </c>
    </row>
    <row r="333" customFormat="false" ht="15" hidden="false" customHeight="true" outlineLevel="0" collapsed="false">
      <c r="A333" s="1" t="n">
        <v>327</v>
      </c>
      <c r="B333" s="10" t="n">
        <f aca="false">A333/$B$4</f>
        <v>21.8</v>
      </c>
      <c r="C333" s="11" t="n">
        <f aca="false">B333*'Karnataka Fuel Rates'!$B$9</f>
        <v>2426.9395</v>
      </c>
      <c r="D333" s="10" t="n">
        <f aca="false">A333/$D$4</f>
        <v>18.1666666666667</v>
      </c>
      <c r="E333" s="11" t="n">
        <f aca="false">D333*'Karnataka Fuel Rates'!$C$9</f>
        <v>1803.31416666667</v>
      </c>
    </row>
    <row r="334" customFormat="false" ht="15" hidden="false" customHeight="true" outlineLevel="0" collapsed="false">
      <c r="A334" s="1" t="n">
        <v>328</v>
      </c>
      <c r="B334" s="10" t="n">
        <f aca="false">A334/$B$4</f>
        <v>21.8666666666667</v>
      </c>
      <c r="C334" s="11" t="n">
        <f aca="false">B334*'Karnataka Fuel Rates'!$B$9</f>
        <v>2434.36133333333</v>
      </c>
      <c r="D334" s="10" t="n">
        <f aca="false">A334/$D$4</f>
        <v>18.2222222222222</v>
      </c>
      <c r="E334" s="11" t="n">
        <f aca="false">D334*'Karnataka Fuel Rates'!$C$9</f>
        <v>1808.82888888889</v>
      </c>
    </row>
    <row r="335" customFormat="false" ht="15" hidden="false" customHeight="true" outlineLevel="0" collapsed="false">
      <c r="A335" s="1" t="n">
        <v>329</v>
      </c>
      <c r="B335" s="10" t="n">
        <f aca="false">A335/$B$4</f>
        <v>21.9333333333333</v>
      </c>
      <c r="C335" s="11" t="n">
        <f aca="false">B335*'Karnataka Fuel Rates'!$B$9</f>
        <v>2441.78316666667</v>
      </c>
      <c r="D335" s="10" t="n">
        <f aca="false">A335/$D$4</f>
        <v>18.2777777777778</v>
      </c>
      <c r="E335" s="11" t="n">
        <f aca="false">D335*'Karnataka Fuel Rates'!$C$9</f>
        <v>1814.34361111111</v>
      </c>
    </row>
    <row r="336" customFormat="false" ht="15" hidden="false" customHeight="true" outlineLevel="0" collapsed="false">
      <c r="A336" s="1" t="n">
        <v>330</v>
      </c>
      <c r="B336" s="10" t="n">
        <f aca="false">A336/$B$4</f>
        <v>22</v>
      </c>
      <c r="C336" s="11" t="n">
        <f aca="false">B336*'Karnataka Fuel Rates'!$B$9</f>
        <v>2449.205</v>
      </c>
      <c r="D336" s="10" t="n">
        <f aca="false">A336/$D$4</f>
        <v>18.3333333333333</v>
      </c>
      <c r="E336" s="11" t="n">
        <f aca="false">D336*'Karnataka Fuel Rates'!$C$9</f>
        <v>1819.85833333333</v>
      </c>
    </row>
    <row r="337" customFormat="false" ht="15" hidden="false" customHeight="true" outlineLevel="0" collapsed="false">
      <c r="A337" s="1" t="n">
        <v>331</v>
      </c>
      <c r="B337" s="10" t="n">
        <f aca="false">A337/$B$4</f>
        <v>22.0666666666667</v>
      </c>
      <c r="C337" s="11" t="n">
        <f aca="false">B337*'Karnataka Fuel Rates'!$B$9</f>
        <v>2456.62683333333</v>
      </c>
      <c r="D337" s="10" t="n">
        <f aca="false">A337/$D$4</f>
        <v>18.3888888888889</v>
      </c>
      <c r="E337" s="11" t="n">
        <f aca="false">D337*'Karnataka Fuel Rates'!$C$9</f>
        <v>1825.37305555556</v>
      </c>
    </row>
    <row r="338" customFormat="false" ht="15" hidden="false" customHeight="true" outlineLevel="0" collapsed="false">
      <c r="A338" s="1" t="n">
        <v>332</v>
      </c>
      <c r="B338" s="10" t="n">
        <f aca="false">A338/$B$4</f>
        <v>22.1333333333333</v>
      </c>
      <c r="C338" s="11" t="n">
        <f aca="false">B338*'Karnataka Fuel Rates'!$B$9</f>
        <v>2464.04866666667</v>
      </c>
      <c r="D338" s="10" t="n">
        <f aca="false">A338/$D$4</f>
        <v>18.4444444444444</v>
      </c>
      <c r="E338" s="11" t="n">
        <f aca="false">D338*'Karnataka Fuel Rates'!$C$9</f>
        <v>1830.88777777778</v>
      </c>
    </row>
    <row r="339" customFormat="false" ht="15" hidden="false" customHeight="true" outlineLevel="0" collapsed="false">
      <c r="A339" s="1" t="n">
        <v>333</v>
      </c>
      <c r="B339" s="10" t="n">
        <f aca="false">A339/$B$4</f>
        <v>22.2</v>
      </c>
      <c r="C339" s="11" t="n">
        <f aca="false">B339*'Karnataka Fuel Rates'!$B$9</f>
        <v>2471.4705</v>
      </c>
      <c r="D339" s="10" t="n">
        <f aca="false">A339/$D$4</f>
        <v>18.5</v>
      </c>
      <c r="E339" s="11" t="n">
        <f aca="false">D339*'Karnataka Fuel Rates'!$C$9</f>
        <v>1836.4025</v>
      </c>
    </row>
    <row r="340" customFormat="false" ht="15" hidden="false" customHeight="true" outlineLevel="0" collapsed="false">
      <c r="A340" s="1" t="n">
        <v>334</v>
      </c>
      <c r="B340" s="10" t="n">
        <f aca="false">A340/$B$4</f>
        <v>22.2666666666667</v>
      </c>
      <c r="C340" s="11" t="n">
        <f aca="false">B340*'Karnataka Fuel Rates'!$B$9</f>
        <v>2478.89233333333</v>
      </c>
      <c r="D340" s="10" t="n">
        <f aca="false">A340/$D$4</f>
        <v>18.5555555555556</v>
      </c>
      <c r="E340" s="11" t="n">
        <f aca="false">D340*'Karnataka Fuel Rates'!$C$9</f>
        <v>1841.91722222222</v>
      </c>
    </row>
    <row r="341" customFormat="false" ht="15" hidden="false" customHeight="true" outlineLevel="0" collapsed="false">
      <c r="A341" s="1" t="n">
        <v>335</v>
      </c>
      <c r="B341" s="10" t="n">
        <f aca="false">A341/$B$4</f>
        <v>22.3333333333333</v>
      </c>
      <c r="C341" s="11" t="n">
        <f aca="false">B341*'Karnataka Fuel Rates'!$B$9</f>
        <v>2486.31416666667</v>
      </c>
      <c r="D341" s="10" t="n">
        <f aca="false">A341/$D$4</f>
        <v>18.6111111111111</v>
      </c>
      <c r="E341" s="11" t="n">
        <f aca="false">D341*'Karnataka Fuel Rates'!$C$9</f>
        <v>1847.43194444444</v>
      </c>
    </row>
    <row r="342" customFormat="false" ht="15" hidden="false" customHeight="true" outlineLevel="0" collapsed="false">
      <c r="A342" s="1" t="n">
        <v>336</v>
      </c>
      <c r="B342" s="10" t="n">
        <f aca="false">A342/$B$4</f>
        <v>22.4</v>
      </c>
      <c r="C342" s="11" t="n">
        <f aca="false">B342*'Karnataka Fuel Rates'!$B$9</f>
        <v>2493.736</v>
      </c>
      <c r="D342" s="10" t="n">
        <f aca="false">A342/$D$4</f>
        <v>18.6666666666667</v>
      </c>
      <c r="E342" s="11" t="n">
        <f aca="false">D342*'Karnataka Fuel Rates'!$C$9</f>
        <v>1852.94666666667</v>
      </c>
    </row>
    <row r="343" customFormat="false" ht="15" hidden="false" customHeight="true" outlineLevel="0" collapsed="false">
      <c r="A343" s="1" t="n">
        <v>337</v>
      </c>
      <c r="B343" s="10" t="n">
        <f aca="false">A343/$B$4</f>
        <v>22.4666666666667</v>
      </c>
      <c r="C343" s="11" t="n">
        <f aca="false">B343*'Karnataka Fuel Rates'!$B$9</f>
        <v>2501.15783333333</v>
      </c>
      <c r="D343" s="10" t="n">
        <f aca="false">A343/$D$4</f>
        <v>18.7222222222222</v>
      </c>
      <c r="E343" s="11" t="n">
        <f aca="false">D343*'Karnataka Fuel Rates'!$C$9</f>
        <v>1858.46138888889</v>
      </c>
    </row>
    <row r="344" customFormat="false" ht="15" hidden="false" customHeight="true" outlineLevel="0" collapsed="false">
      <c r="A344" s="1" t="n">
        <v>338</v>
      </c>
      <c r="B344" s="10" t="n">
        <f aca="false">A344/$B$4</f>
        <v>22.5333333333333</v>
      </c>
      <c r="C344" s="11" t="n">
        <f aca="false">B344*'Karnataka Fuel Rates'!$B$9</f>
        <v>2508.57966666667</v>
      </c>
      <c r="D344" s="10" t="n">
        <f aca="false">A344/$D$4</f>
        <v>18.7777777777778</v>
      </c>
      <c r="E344" s="11" t="n">
        <f aca="false">D344*'Karnataka Fuel Rates'!$C$9</f>
        <v>1863.97611111111</v>
      </c>
    </row>
    <row r="345" customFormat="false" ht="15" hidden="false" customHeight="true" outlineLevel="0" collapsed="false">
      <c r="A345" s="1" t="n">
        <v>339</v>
      </c>
      <c r="B345" s="10" t="n">
        <f aca="false">A345/$B$4</f>
        <v>22.6</v>
      </c>
      <c r="C345" s="11" t="n">
        <f aca="false">B345*'Karnataka Fuel Rates'!$B$9</f>
        <v>2516.0015</v>
      </c>
      <c r="D345" s="10" t="n">
        <f aca="false">A345/$D$4</f>
        <v>18.8333333333333</v>
      </c>
      <c r="E345" s="11" t="n">
        <f aca="false">D345*'Karnataka Fuel Rates'!$C$9</f>
        <v>1869.49083333333</v>
      </c>
    </row>
    <row r="346" customFormat="false" ht="15" hidden="false" customHeight="true" outlineLevel="0" collapsed="false">
      <c r="A346" s="1" t="n">
        <v>340</v>
      </c>
      <c r="B346" s="10" t="n">
        <f aca="false">A346/$B$4</f>
        <v>22.6666666666667</v>
      </c>
      <c r="C346" s="11" t="n">
        <f aca="false">B346*'Karnataka Fuel Rates'!$B$9</f>
        <v>2523.42333333333</v>
      </c>
      <c r="D346" s="10" t="n">
        <f aca="false">A346/$D$4</f>
        <v>18.8888888888889</v>
      </c>
      <c r="E346" s="11" t="n">
        <f aca="false">D346*'Karnataka Fuel Rates'!$C$9</f>
        <v>1875.00555555556</v>
      </c>
    </row>
    <row r="347" customFormat="false" ht="15" hidden="false" customHeight="true" outlineLevel="0" collapsed="false">
      <c r="A347" s="1" t="n">
        <v>341</v>
      </c>
      <c r="B347" s="10" t="n">
        <f aca="false">A347/$B$4</f>
        <v>22.7333333333333</v>
      </c>
      <c r="C347" s="11" t="n">
        <f aca="false">B347*'Karnataka Fuel Rates'!$B$9</f>
        <v>2530.84516666667</v>
      </c>
      <c r="D347" s="10" t="n">
        <f aca="false">A347/$D$4</f>
        <v>18.9444444444444</v>
      </c>
      <c r="E347" s="11" t="n">
        <f aca="false">D347*'Karnataka Fuel Rates'!$C$9</f>
        <v>1880.52027777778</v>
      </c>
    </row>
    <row r="348" customFormat="false" ht="15" hidden="false" customHeight="true" outlineLevel="0" collapsed="false">
      <c r="A348" s="1" t="n">
        <v>342</v>
      </c>
      <c r="B348" s="10" t="n">
        <f aca="false">A348/$B$4</f>
        <v>22.8</v>
      </c>
      <c r="C348" s="11" t="n">
        <f aca="false">B348*'Karnataka Fuel Rates'!$B$9</f>
        <v>2538.267</v>
      </c>
      <c r="D348" s="10" t="n">
        <f aca="false">A348/$D$4</f>
        <v>19</v>
      </c>
      <c r="E348" s="11" t="n">
        <f aca="false">D348*'Karnataka Fuel Rates'!$C$9</f>
        <v>1886.035</v>
      </c>
    </row>
    <row r="349" customFormat="false" ht="15" hidden="false" customHeight="true" outlineLevel="0" collapsed="false">
      <c r="A349" s="1" t="n">
        <v>343</v>
      </c>
      <c r="B349" s="10" t="n">
        <f aca="false">A349/$B$4</f>
        <v>22.8666666666667</v>
      </c>
      <c r="C349" s="11" t="n">
        <f aca="false">B349*'Karnataka Fuel Rates'!$B$9</f>
        <v>2545.68883333333</v>
      </c>
      <c r="D349" s="10" t="n">
        <f aca="false">A349/$D$4</f>
        <v>19.0555555555556</v>
      </c>
      <c r="E349" s="11" t="n">
        <f aca="false">D349*'Karnataka Fuel Rates'!$C$9</f>
        <v>1891.54972222222</v>
      </c>
    </row>
    <row r="350" customFormat="false" ht="15" hidden="false" customHeight="true" outlineLevel="0" collapsed="false">
      <c r="A350" s="1" t="n">
        <v>344</v>
      </c>
      <c r="B350" s="10" t="n">
        <f aca="false">A350/$B$4</f>
        <v>22.9333333333333</v>
      </c>
      <c r="C350" s="11" t="n">
        <f aca="false">B350*'Karnataka Fuel Rates'!$B$9</f>
        <v>2553.11066666667</v>
      </c>
      <c r="D350" s="10" t="n">
        <f aca="false">A350/$D$4</f>
        <v>19.1111111111111</v>
      </c>
      <c r="E350" s="11" t="n">
        <f aca="false">D350*'Karnataka Fuel Rates'!$C$9</f>
        <v>1897.06444444444</v>
      </c>
    </row>
    <row r="351" customFormat="false" ht="15" hidden="false" customHeight="true" outlineLevel="0" collapsed="false">
      <c r="A351" s="1" t="n">
        <v>345</v>
      </c>
      <c r="B351" s="10" t="n">
        <f aca="false">A351/$B$4</f>
        <v>23</v>
      </c>
      <c r="C351" s="11" t="n">
        <f aca="false">B351*'Karnataka Fuel Rates'!$B$9</f>
        <v>2560.5325</v>
      </c>
      <c r="D351" s="10" t="n">
        <f aca="false">A351/$D$4</f>
        <v>19.1666666666667</v>
      </c>
      <c r="E351" s="11" t="n">
        <f aca="false">D351*'Karnataka Fuel Rates'!$C$9</f>
        <v>1902.57916666667</v>
      </c>
    </row>
    <row r="352" customFormat="false" ht="15" hidden="false" customHeight="true" outlineLevel="0" collapsed="false">
      <c r="A352" s="1" t="n">
        <v>346</v>
      </c>
      <c r="B352" s="10" t="n">
        <f aca="false">A352/$B$4</f>
        <v>23.0666666666667</v>
      </c>
      <c r="C352" s="11" t="n">
        <f aca="false">B352*'Karnataka Fuel Rates'!$B$9</f>
        <v>2567.95433333333</v>
      </c>
      <c r="D352" s="10" t="n">
        <f aca="false">A352/$D$4</f>
        <v>19.2222222222222</v>
      </c>
      <c r="E352" s="11" t="n">
        <f aca="false">D352*'Karnataka Fuel Rates'!$C$9</f>
        <v>1908.09388888889</v>
      </c>
    </row>
    <row r="353" customFormat="false" ht="15" hidden="false" customHeight="true" outlineLevel="0" collapsed="false">
      <c r="A353" s="1" t="n">
        <v>347</v>
      </c>
      <c r="B353" s="10" t="n">
        <f aca="false">A353/$B$4</f>
        <v>23.1333333333333</v>
      </c>
      <c r="C353" s="11" t="n">
        <f aca="false">B353*'Karnataka Fuel Rates'!$B$9</f>
        <v>2575.37616666667</v>
      </c>
      <c r="D353" s="10" t="n">
        <f aca="false">A353/$D$4</f>
        <v>19.2777777777778</v>
      </c>
      <c r="E353" s="11" t="n">
        <f aca="false">D353*'Karnataka Fuel Rates'!$C$9</f>
        <v>1913.60861111111</v>
      </c>
    </row>
    <row r="354" customFormat="false" ht="15" hidden="false" customHeight="true" outlineLevel="0" collapsed="false">
      <c r="A354" s="1" t="n">
        <v>348</v>
      </c>
      <c r="B354" s="10" t="n">
        <f aca="false">A354/$B$4</f>
        <v>23.2</v>
      </c>
      <c r="C354" s="11" t="n">
        <f aca="false">B354*'Karnataka Fuel Rates'!$B$9</f>
        <v>2582.798</v>
      </c>
      <c r="D354" s="10" t="n">
        <f aca="false">A354/$D$4</f>
        <v>19.3333333333333</v>
      </c>
      <c r="E354" s="11" t="n">
        <f aca="false">D354*'Karnataka Fuel Rates'!$C$9</f>
        <v>1919.12333333333</v>
      </c>
    </row>
    <row r="355" customFormat="false" ht="15" hidden="false" customHeight="true" outlineLevel="0" collapsed="false">
      <c r="A355" s="1" t="n">
        <v>349</v>
      </c>
      <c r="B355" s="10" t="n">
        <f aca="false">A355/$B$4</f>
        <v>23.2666666666667</v>
      </c>
      <c r="C355" s="11" t="n">
        <f aca="false">B355*'Karnataka Fuel Rates'!$B$9</f>
        <v>2590.21983333333</v>
      </c>
      <c r="D355" s="10" t="n">
        <f aca="false">A355/$D$4</f>
        <v>19.3888888888889</v>
      </c>
      <c r="E355" s="11" t="n">
        <f aca="false">D355*'Karnataka Fuel Rates'!$C$9</f>
        <v>1924.63805555556</v>
      </c>
    </row>
    <row r="356" customFormat="false" ht="15" hidden="false" customHeight="true" outlineLevel="0" collapsed="false">
      <c r="A356" s="1" t="n">
        <v>350</v>
      </c>
      <c r="B356" s="10" t="n">
        <f aca="false">A356/$B$4</f>
        <v>23.3333333333333</v>
      </c>
      <c r="C356" s="11" t="n">
        <f aca="false">B356*'Karnataka Fuel Rates'!$B$9</f>
        <v>2597.64166666667</v>
      </c>
      <c r="D356" s="10" t="n">
        <f aca="false">A356/$D$4</f>
        <v>19.4444444444444</v>
      </c>
      <c r="E356" s="11" t="n">
        <f aca="false">D356*'Karnataka Fuel Rates'!$C$9</f>
        <v>1930.15277777778</v>
      </c>
    </row>
    <row r="357" customFormat="false" ht="15" hidden="false" customHeight="true" outlineLevel="0" collapsed="false">
      <c r="A357" s="1" t="n">
        <v>351</v>
      </c>
      <c r="B357" s="10" t="n">
        <f aca="false">A357/$B$4</f>
        <v>23.4</v>
      </c>
      <c r="C357" s="11" t="n">
        <f aca="false">B357*'Karnataka Fuel Rates'!$B$9</f>
        <v>2605.0635</v>
      </c>
      <c r="D357" s="10" t="n">
        <f aca="false">A357/$D$4</f>
        <v>19.5</v>
      </c>
      <c r="E357" s="11" t="n">
        <f aca="false">D357*'Karnataka Fuel Rates'!$C$9</f>
        <v>1935.6675</v>
      </c>
    </row>
    <row r="358" customFormat="false" ht="15" hidden="false" customHeight="true" outlineLevel="0" collapsed="false">
      <c r="A358" s="1" t="n">
        <v>352</v>
      </c>
      <c r="B358" s="10" t="n">
        <f aca="false">A358/$B$4</f>
        <v>23.4666666666667</v>
      </c>
      <c r="C358" s="11" t="n">
        <f aca="false">B358*'Karnataka Fuel Rates'!$B$9</f>
        <v>2612.48533333333</v>
      </c>
      <c r="D358" s="10" t="n">
        <f aca="false">A358/$D$4</f>
        <v>19.5555555555556</v>
      </c>
      <c r="E358" s="11" t="n">
        <f aca="false">D358*'Karnataka Fuel Rates'!$C$9</f>
        <v>1941.18222222222</v>
      </c>
    </row>
    <row r="359" customFormat="false" ht="15" hidden="false" customHeight="true" outlineLevel="0" collapsed="false">
      <c r="A359" s="1" t="n">
        <v>353</v>
      </c>
      <c r="B359" s="10" t="n">
        <f aca="false">A359/$B$4</f>
        <v>23.5333333333333</v>
      </c>
      <c r="C359" s="11" t="n">
        <f aca="false">B359*'Karnataka Fuel Rates'!$B$9</f>
        <v>2619.90716666667</v>
      </c>
      <c r="D359" s="10" t="n">
        <f aca="false">A359/$D$4</f>
        <v>19.6111111111111</v>
      </c>
      <c r="E359" s="11" t="n">
        <f aca="false">D359*'Karnataka Fuel Rates'!$C$9</f>
        <v>1946.69694444444</v>
      </c>
    </row>
    <row r="360" customFormat="false" ht="15" hidden="false" customHeight="true" outlineLevel="0" collapsed="false">
      <c r="A360" s="1" t="n">
        <v>354</v>
      </c>
      <c r="B360" s="10" t="n">
        <f aca="false">A360/$B$4</f>
        <v>23.6</v>
      </c>
      <c r="C360" s="11" t="n">
        <f aca="false">B360*'Karnataka Fuel Rates'!$B$9</f>
        <v>2627.329</v>
      </c>
      <c r="D360" s="10" t="n">
        <f aca="false">A360/$D$4</f>
        <v>19.6666666666667</v>
      </c>
      <c r="E360" s="11" t="n">
        <f aca="false">D360*'Karnataka Fuel Rates'!$C$9</f>
        <v>1952.21166666667</v>
      </c>
    </row>
    <row r="361" customFormat="false" ht="15" hidden="false" customHeight="true" outlineLevel="0" collapsed="false">
      <c r="A361" s="1" t="n">
        <v>355</v>
      </c>
      <c r="B361" s="10" t="n">
        <f aca="false">A361/$B$4</f>
        <v>23.6666666666667</v>
      </c>
      <c r="C361" s="11" t="n">
        <f aca="false">B361*'Karnataka Fuel Rates'!$B$9</f>
        <v>2634.75083333333</v>
      </c>
      <c r="D361" s="10" t="n">
        <f aca="false">A361/$D$4</f>
        <v>19.7222222222222</v>
      </c>
      <c r="E361" s="11" t="n">
        <f aca="false">D361*'Karnataka Fuel Rates'!$C$9</f>
        <v>1957.72638888889</v>
      </c>
    </row>
    <row r="362" customFormat="false" ht="15" hidden="false" customHeight="true" outlineLevel="0" collapsed="false">
      <c r="A362" s="1" t="n">
        <v>356</v>
      </c>
      <c r="B362" s="10" t="n">
        <f aca="false">A362/$B$4</f>
        <v>23.7333333333333</v>
      </c>
      <c r="C362" s="11" t="n">
        <f aca="false">B362*'Karnataka Fuel Rates'!$B$9</f>
        <v>2642.17266666667</v>
      </c>
      <c r="D362" s="10" t="n">
        <f aca="false">A362/$D$4</f>
        <v>19.7777777777778</v>
      </c>
      <c r="E362" s="11" t="n">
        <f aca="false">D362*'Karnataka Fuel Rates'!$C$9</f>
        <v>1963.24111111111</v>
      </c>
    </row>
    <row r="363" customFormat="false" ht="15" hidden="false" customHeight="true" outlineLevel="0" collapsed="false">
      <c r="A363" s="1" t="n">
        <v>357</v>
      </c>
      <c r="B363" s="10" t="n">
        <f aca="false">A363/$B$4</f>
        <v>23.8</v>
      </c>
      <c r="C363" s="11" t="n">
        <f aca="false">B363*'Karnataka Fuel Rates'!$B$9</f>
        <v>2649.5945</v>
      </c>
      <c r="D363" s="10" t="n">
        <f aca="false">A363/$D$4</f>
        <v>19.8333333333333</v>
      </c>
      <c r="E363" s="11" t="n">
        <f aca="false">D363*'Karnataka Fuel Rates'!$C$9</f>
        <v>1968.75583333333</v>
      </c>
    </row>
    <row r="364" customFormat="false" ht="15" hidden="false" customHeight="true" outlineLevel="0" collapsed="false">
      <c r="A364" s="1" t="n">
        <v>358</v>
      </c>
      <c r="B364" s="10" t="n">
        <f aca="false">A364/$B$4</f>
        <v>23.8666666666667</v>
      </c>
      <c r="C364" s="11" t="n">
        <f aca="false">B364*'Karnataka Fuel Rates'!$B$9</f>
        <v>2657.01633333333</v>
      </c>
      <c r="D364" s="10" t="n">
        <f aca="false">A364/$D$4</f>
        <v>19.8888888888889</v>
      </c>
      <c r="E364" s="11" t="n">
        <f aca="false">D364*'Karnataka Fuel Rates'!$C$9</f>
        <v>1974.27055555556</v>
      </c>
    </row>
    <row r="365" customFormat="false" ht="15" hidden="false" customHeight="true" outlineLevel="0" collapsed="false">
      <c r="A365" s="1" t="n">
        <v>359</v>
      </c>
      <c r="B365" s="10" t="n">
        <f aca="false">A365/$B$4</f>
        <v>23.9333333333333</v>
      </c>
      <c r="C365" s="11" t="n">
        <f aca="false">B365*'Karnataka Fuel Rates'!$B$9</f>
        <v>2664.43816666667</v>
      </c>
      <c r="D365" s="10" t="n">
        <f aca="false">A365/$D$4</f>
        <v>19.9444444444444</v>
      </c>
      <c r="E365" s="11" t="n">
        <f aca="false">D365*'Karnataka Fuel Rates'!$C$9</f>
        <v>1979.78527777778</v>
      </c>
    </row>
    <row r="366" customFormat="false" ht="15" hidden="false" customHeight="true" outlineLevel="0" collapsed="false">
      <c r="A366" s="1" t="n">
        <v>360</v>
      </c>
      <c r="B366" s="10" t="n">
        <f aca="false">A366/$B$4</f>
        <v>24</v>
      </c>
      <c r="C366" s="11" t="n">
        <f aca="false">B366*'Karnataka Fuel Rates'!$B$9</f>
        <v>2671.86</v>
      </c>
      <c r="D366" s="10" t="n">
        <f aca="false">A366/$D$4</f>
        <v>20</v>
      </c>
      <c r="E366" s="11" t="n">
        <f aca="false">D366*'Karnataka Fuel Rates'!$C$9</f>
        <v>1985.3</v>
      </c>
    </row>
    <row r="367" customFormat="false" ht="15" hidden="false" customHeight="true" outlineLevel="0" collapsed="false">
      <c r="A367" s="1" t="n">
        <v>361</v>
      </c>
      <c r="B367" s="10" t="n">
        <f aca="false">A367/$B$4</f>
        <v>24.0666666666667</v>
      </c>
      <c r="C367" s="11" t="n">
        <f aca="false">B367*'Karnataka Fuel Rates'!$B$9</f>
        <v>2679.28183333333</v>
      </c>
      <c r="D367" s="10" t="n">
        <f aca="false">A367/$D$4</f>
        <v>20.0555555555556</v>
      </c>
      <c r="E367" s="11" t="n">
        <f aca="false">D367*'Karnataka Fuel Rates'!$C$9</f>
        <v>1990.81472222222</v>
      </c>
    </row>
    <row r="368" customFormat="false" ht="15" hidden="false" customHeight="true" outlineLevel="0" collapsed="false">
      <c r="A368" s="1" t="n">
        <v>362</v>
      </c>
      <c r="B368" s="10" t="n">
        <f aca="false">A368/$B$4</f>
        <v>24.1333333333333</v>
      </c>
      <c r="C368" s="11" t="n">
        <f aca="false">B368*'Karnataka Fuel Rates'!$B$9</f>
        <v>2686.70366666667</v>
      </c>
      <c r="D368" s="10" t="n">
        <f aca="false">A368/$D$4</f>
        <v>20.1111111111111</v>
      </c>
      <c r="E368" s="11" t="n">
        <f aca="false">D368*'Karnataka Fuel Rates'!$C$9</f>
        <v>1996.32944444444</v>
      </c>
    </row>
    <row r="369" customFormat="false" ht="15" hidden="false" customHeight="true" outlineLevel="0" collapsed="false">
      <c r="A369" s="1" t="n">
        <v>363</v>
      </c>
      <c r="B369" s="10" t="n">
        <f aca="false">A369/$B$4</f>
        <v>24.2</v>
      </c>
      <c r="C369" s="11" t="n">
        <f aca="false">B369*'Karnataka Fuel Rates'!$B$9</f>
        <v>2694.1255</v>
      </c>
      <c r="D369" s="10" t="n">
        <f aca="false">A369/$D$4</f>
        <v>20.1666666666667</v>
      </c>
      <c r="E369" s="11" t="n">
        <f aca="false">D369*'Karnataka Fuel Rates'!$C$9</f>
        <v>2001.84416666667</v>
      </c>
    </row>
    <row r="370" customFormat="false" ht="15" hidden="false" customHeight="true" outlineLevel="0" collapsed="false">
      <c r="A370" s="1" t="n">
        <v>364</v>
      </c>
      <c r="B370" s="10" t="n">
        <f aca="false">A370/$B$4</f>
        <v>24.2666666666667</v>
      </c>
      <c r="C370" s="11" t="n">
        <f aca="false">B370*'Karnataka Fuel Rates'!$B$9</f>
        <v>2701.54733333333</v>
      </c>
      <c r="D370" s="10" t="n">
        <f aca="false">A370/$D$4</f>
        <v>20.2222222222222</v>
      </c>
      <c r="E370" s="11" t="n">
        <f aca="false">D370*'Karnataka Fuel Rates'!$C$9</f>
        <v>2007.35888888889</v>
      </c>
    </row>
    <row r="371" customFormat="false" ht="15" hidden="false" customHeight="true" outlineLevel="0" collapsed="false">
      <c r="A371" s="1" t="n">
        <v>365</v>
      </c>
      <c r="B371" s="10" t="n">
        <f aca="false">A371/$B$4</f>
        <v>24.3333333333333</v>
      </c>
      <c r="C371" s="11" t="n">
        <f aca="false">B371*'Karnataka Fuel Rates'!$B$9</f>
        <v>2708.96916666667</v>
      </c>
      <c r="D371" s="10" t="n">
        <f aca="false">A371/$D$4</f>
        <v>20.2777777777778</v>
      </c>
      <c r="E371" s="11" t="n">
        <f aca="false">D371*'Karnataka Fuel Rates'!$C$9</f>
        <v>2012.87361111111</v>
      </c>
    </row>
    <row r="372" customFormat="false" ht="15" hidden="false" customHeight="true" outlineLevel="0" collapsed="false">
      <c r="A372" s="1" t="n">
        <v>366</v>
      </c>
      <c r="B372" s="10" t="n">
        <f aca="false">A372/$B$4</f>
        <v>24.4</v>
      </c>
      <c r="C372" s="11" t="n">
        <f aca="false">B372*'Karnataka Fuel Rates'!$B$9</f>
        <v>2716.391</v>
      </c>
      <c r="D372" s="10" t="n">
        <f aca="false">A372/$D$4</f>
        <v>20.3333333333333</v>
      </c>
      <c r="E372" s="11" t="n">
        <f aca="false">D372*'Karnataka Fuel Rates'!$C$9</f>
        <v>2018.38833333333</v>
      </c>
    </row>
    <row r="373" customFormat="false" ht="15" hidden="false" customHeight="true" outlineLevel="0" collapsed="false">
      <c r="A373" s="1" t="n">
        <v>367</v>
      </c>
      <c r="B373" s="10" t="n">
        <f aca="false">A373/$B$4</f>
        <v>24.4666666666667</v>
      </c>
      <c r="C373" s="11" t="n">
        <f aca="false">B373*'Karnataka Fuel Rates'!$B$9</f>
        <v>2723.81283333333</v>
      </c>
      <c r="D373" s="10" t="n">
        <f aca="false">A373/$D$4</f>
        <v>20.3888888888889</v>
      </c>
      <c r="E373" s="11" t="n">
        <f aca="false">D373*'Karnataka Fuel Rates'!$C$9</f>
        <v>2023.90305555556</v>
      </c>
    </row>
    <row r="374" customFormat="false" ht="15" hidden="false" customHeight="true" outlineLevel="0" collapsed="false">
      <c r="A374" s="1" t="n">
        <v>368</v>
      </c>
      <c r="B374" s="10" t="n">
        <f aca="false">A374/$B$4</f>
        <v>24.5333333333333</v>
      </c>
      <c r="C374" s="11" t="n">
        <f aca="false">B374*'Karnataka Fuel Rates'!$B$9</f>
        <v>2731.23466666667</v>
      </c>
      <c r="D374" s="10" t="n">
        <f aca="false">A374/$D$4</f>
        <v>20.4444444444444</v>
      </c>
      <c r="E374" s="11" t="n">
        <f aca="false">D374*'Karnataka Fuel Rates'!$C$9</f>
        <v>2029.41777777778</v>
      </c>
    </row>
    <row r="375" customFormat="false" ht="15" hidden="false" customHeight="true" outlineLevel="0" collapsed="false">
      <c r="A375" s="1" t="n">
        <v>369</v>
      </c>
      <c r="B375" s="10" t="n">
        <f aca="false">A375/$B$4</f>
        <v>24.6</v>
      </c>
      <c r="C375" s="11" t="n">
        <f aca="false">B375*'Karnataka Fuel Rates'!$B$9</f>
        <v>2738.6565</v>
      </c>
      <c r="D375" s="10" t="n">
        <f aca="false">A375/$D$4</f>
        <v>20.5</v>
      </c>
      <c r="E375" s="11" t="n">
        <f aca="false">D375*'Karnataka Fuel Rates'!$C$9</f>
        <v>2034.9325</v>
      </c>
    </row>
    <row r="376" customFormat="false" ht="15" hidden="false" customHeight="true" outlineLevel="0" collapsed="false">
      <c r="A376" s="1" t="n">
        <v>370</v>
      </c>
      <c r="B376" s="10" t="n">
        <f aca="false">A376/$B$4</f>
        <v>24.6666666666667</v>
      </c>
      <c r="C376" s="11" t="n">
        <f aca="false">B376*'Karnataka Fuel Rates'!$B$9</f>
        <v>2746.07833333333</v>
      </c>
      <c r="D376" s="10" t="n">
        <f aca="false">A376/$D$4</f>
        <v>20.5555555555556</v>
      </c>
      <c r="E376" s="11" t="n">
        <f aca="false">D376*'Karnataka Fuel Rates'!$C$9</f>
        <v>2040.44722222222</v>
      </c>
    </row>
    <row r="377" customFormat="false" ht="15" hidden="false" customHeight="true" outlineLevel="0" collapsed="false">
      <c r="A377" s="1" t="n">
        <v>371</v>
      </c>
      <c r="B377" s="10" t="n">
        <f aca="false">A377/$B$4</f>
        <v>24.7333333333333</v>
      </c>
      <c r="C377" s="11" t="n">
        <f aca="false">B377*'Karnataka Fuel Rates'!$B$9</f>
        <v>2753.50016666667</v>
      </c>
      <c r="D377" s="10" t="n">
        <f aca="false">A377/$D$4</f>
        <v>20.6111111111111</v>
      </c>
      <c r="E377" s="11" t="n">
        <f aca="false">D377*'Karnataka Fuel Rates'!$C$9</f>
        <v>2045.96194444444</v>
      </c>
    </row>
    <row r="378" customFormat="false" ht="15" hidden="false" customHeight="true" outlineLevel="0" collapsed="false">
      <c r="A378" s="1" t="n">
        <v>372</v>
      </c>
      <c r="B378" s="10" t="n">
        <f aca="false">A378/$B$4</f>
        <v>24.8</v>
      </c>
      <c r="C378" s="11" t="n">
        <f aca="false">B378*'Karnataka Fuel Rates'!$B$9</f>
        <v>2760.922</v>
      </c>
      <c r="D378" s="10" t="n">
        <f aca="false">A378/$D$4</f>
        <v>20.6666666666667</v>
      </c>
      <c r="E378" s="11" t="n">
        <f aca="false">D378*'Karnataka Fuel Rates'!$C$9</f>
        <v>2051.47666666667</v>
      </c>
    </row>
    <row r="379" customFormat="false" ht="15" hidden="false" customHeight="true" outlineLevel="0" collapsed="false">
      <c r="A379" s="1" t="n">
        <v>373</v>
      </c>
      <c r="B379" s="10" t="n">
        <f aca="false">A379/$B$4</f>
        <v>24.8666666666667</v>
      </c>
      <c r="C379" s="11" t="n">
        <f aca="false">B379*'Karnataka Fuel Rates'!$B$9</f>
        <v>2768.34383333333</v>
      </c>
      <c r="D379" s="10" t="n">
        <f aca="false">A379/$D$4</f>
        <v>20.7222222222222</v>
      </c>
      <c r="E379" s="11" t="n">
        <f aca="false">D379*'Karnataka Fuel Rates'!$C$9</f>
        <v>2056.99138888889</v>
      </c>
    </row>
    <row r="380" customFormat="false" ht="15" hidden="false" customHeight="true" outlineLevel="0" collapsed="false">
      <c r="A380" s="1" t="n">
        <v>374</v>
      </c>
      <c r="B380" s="10" t="n">
        <f aca="false">A380/$B$4</f>
        <v>24.9333333333333</v>
      </c>
      <c r="C380" s="11" t="n">
        <f aca="false">B380*'Karnataka Fuel Rates'!$B$9</f>
        <v>2775.76566666667</v>
      </c>
      <c r="D380" s="10" t="n">
        <f aca="false">A380/$D$4</f>
        <v>20.7777777777778</v>
      </c>
      <c r="E380" s="11" t="n">
        <f aca="false">D380*'Karnataka Fuel Rates'!$C$9</f>
        <v>2062.50611111111</v>
      </c>
    </row>
    <row r="381" customFormat="false" ht="15" hidden="false" customHeight="true" outlineLevel="0" collapsed="false">
      <c r="A381" s="1" t="n">
        <v>375</v>
      </c>
      <c r="B381" s="10" t="n">
        <f aca="false">A381/$B$4</f>
        <v>25</v>
      </c>
      <c r="C381" s="11" t="n">
        <f aca="false">B381*'Karnataka Fuel Rates'!$B$9</f>
        <v>2783.1875</v>
      </c>
      <c r="D381" s="10" t="n">
        <f aca="false">A381/$D$4</f>
        <v>20.8333333333333</v>
      </c>
      <c r="E381" s="11" t="n">
        <f aca="false">D381*'Karnataka Fuel Rates'!$C$9</f>
        <v>2068.02083333333</v>
      </c>
    </row>
    <row r="382" customFormat="false" ht="15" hidden="false" customHeight="true" outlineLevel="0" collapsed="false">
      <c r="A382" s="1" t="n">
        <v>376</v>
      </c>
      <c r="B382" s="10" t="n">
        <f aca="false">A382/$B$4</f>
        <v>25.0666666666667</v>
      </c>
      <c r="C382" s="11" t="n">
        <f aca="false">B382*'Karnataka Fuel Rates'!$B$9</f>
        <v>2790.60933333333</v>
      </c>
      <c r="D382" s="10" t="n">
        <f aca="false">A382/$D$4</f>
        <v>20.8888888888889</v>
      </c>
      <c r="E382" s="11" t="n">
        <f aca="false">D382*'Karnataka Fuel Rates'!$C$9</f>
        <v>2073.53555555556</v>
      </c>
    </row>
    <row r="383" customFormat="false" ht="15" hidden="false" customHeight="true" outlineLevel="0" collapsed="false">
      <c r="A383" s="1" t="n">
        <v>377</v>
      </c>
      <c r="B383" s="10" t="n">
        <f aca="false">A383/$B$4</f>
        <v>25.1333333333333</v>
      </c>
      <c r="C383" s="11" t="n">
        <f aca="false">B383*'Karnataka Fuel Rates'!$B$9</f>
        <v>2798.03116666667</v>
      </c>
      <c r="D383" s="10" t="n">
        <f aca="false">A383/$D$4</f>
        <v>20.9444444444444</v>
      </c>
      <c r="E383" s="11" t="n">
        <f aca="false">D383*'Karnataka Fuel Rates'!$C$9</f>
        <v>2079.05027777778</v>
      </c>
    </row>
    <row r="384" customFormat="false" ht="15" hidden="false" customHeight="true" outlineLevel="0" collapsed="false">
      <c r="A384" s="1" t="n">
        <v>378</v>
      </c>
      <c r="B384" s="10" t="n">
        <f aca="false">A384/$B$4</f>
        <v>25.2</v>
      </c>
      <c r="C384" s="11" t="n">
        <f aca="false">B384*'Karnataka Fuel Rates'!$B$9</f>
        <v>2805.453</v>
      </c>
      <c r="D384" s="10" t="n">
        <f aca="false">A384/$D$4</f>
        <v>21</v>
      </c>
      <c r="E384" s="11" t="n">
        <f aca="false">D384*'Karnataka Fuel Rates'!$C$9</f>
        <v>2084.565</v>
      </c>
    </row>
    <row r="385" customFormat="false" ht="15" hidden="false" customHeight="true" outlineLevel="0" collapsed="false">
      <c r="A385" s="1" t="n">
        <v>379</v>
      </c>
      <c r="B385" s="10" t="n">
        <f aca="false">A385/$B$4</f>
        <v>25.2666666666667</v>
      </c>
      <c r="C385" s="11" t="n">
        <f aca="false">B385*'Karnataka Fuel Rates'!$B$9</f>
        <v>2812.87483333333</v>
      </c>
      <c r="D385" s="10" t="n">
        <f aca="false">A385/$D$4</f>
        <v>21.0555555555556</v>
      </c>
      <c r="E385" s="11" t="n">
        <f aca="false">D385*'Karnataka Fuel Rates'!$C$9</f>
        <v>2090.07972222222</v>
      </c>
    </row>
    <row r="386" customFormat="false" ht="15" hidden="false" customHeight="true" outlineLevel="0" collapsed="false">
      <c r="A386" s="1" t="n">
        <v>380</v>
      </c>
      <c r="B386" s="10" t="n">
        <f aca="false">A386/$B$4</f>
        <v>25.3333333333333</v>
      </c>
      <c r="C386" s="11" t="n">
        <f aca="false">B386*'Karnataka Fuel Rates'!$B$9</f>
        <v>2820.29666666667</v>
      </c>
      <c r="D386" s="10" t="n">
        <f aca="false">A386/$D$4</f>
        <v>21.1111111111111</v>
      </c>
      <c r="E386" s="11" t="n">
        <f aca="false">D386*'Karnataka Fuel Rates'!$C$9</f>
        <v>2095.59444444444</v>
      </c>
    </row>
    <row r="387" customFormat="false" ht="15" hidden="false" customHeight="true" outlineLevel="0" collapsed="false">
      <c r="A387" s="1" t="n">
        <v>381</v>
      </c>
      <c r="B387" s="10" t="n">
        <f aca="false">A387/$B$4</f>
        <v>25.4</v>
      </c>
      <c r="C387" s="11" t="n">
        <f aca="false">B387*'Karnataka Fuel Rates'!$B$9</f>
        <v>2827.7185</v>
      </c>
      <c r="D387" s="10" t="n">
        <f aca="false">A387/$D$4</f>
        <v>21.1666666666667</v>
      </c>
      <c r="E387" s="11" t="n">
        <f aca="false">D387*'Karnataka Fuel Rates'!$C$9</f>
        <v>2101.10916666667</v>
      </c>
    </row>
    <row r="388" customFormat="false" ht="15" hidden="false" customHeight="true" outlineLevel="0" collapsed="false">
      <c r="A388" s="1" t="n">
        <v>382</v>
      </c>
      <c r="B388" s="10" t="n">
        <f aca="false">A388/$B$4</f>
        <v>25.4666666666667</v>
      </c>
      <c r="C388" s="11" t="n">
        <f aca="false">B388*'Karnataka Fuel Rates'!$B$9</f>
        <v>2835.14033333333</v>
      </c>
      <c r="D388" s="10" t="n">
        <f aca="false">A388/$D$4</f>
        <v>21.2222222222222</v>
      </c>
      <c r="E388" s="11" t="n">
        <f aca="false">D388*'Karnataka Fuel Rates'!$C$9</f>
        <v>2106.62388888889</v>
      </c>
    </row>
    <row r="389" customFormat="false" ht="15" hidden="false" customHeight="true" outlineLevel="0" collapsed="false">
      <c r="A389" s="1" t="n">
        <v>383</v>
      </c>
      <c r="B389" s="10" t="n">
        <f aca="false">A389/$B$4</f>
        <v>25.5333333333333</v>
      </c>
      <c r="C389" s="11" t="n">
        <f aca="false">B389*'Karnataka Fuel Rates'!$B$9</f>
        <v>2842.56216666667</v>
      </c>
      <c r="D389" s="10" t="n">
        <f aca="false">A389/$D$4</f>
        <v>21.2777777777778</v>
      </c>
      <c r="E389" s="11" t="n">
        <f aca="false">D389*'Karnataka Fuel Rates'!$C$9</f>
        <v>2112.13861111111</v>
      </c>
    </row>
    <row r="390" customFormat="false" ht="15" hidden="false" customHeight="true" outlineLevel="0" collapsed="false">
      <c r="A390" s="1" t="n">
        <v>384</v>
      </c>
      <c r="B390" s="10" t="n">
        <f aca="false">A390/$B$4</f>
        <v>25.6</v>
      </c>
      <c r="C390" s="11" t="n">
        <f aca="false">B390*'Karnataka Fuel Rates'!$B$9</f>
        <v>2849.984</v>
      </c>
      <c r="D390" s="10" t="n">
        <f aca="false">A390/$D$4</f>
        <v>21.3333333333333</v>
      </c>
      <c r="E390" s="11" t="n">
        <f aca="false">D390*'Karnataka Fuel Rates'!$C$9</f>
        <v>2117.65333333333</v>
      </c>
    </row>
    <row r="391" customFormat="false" ht="15" hidden="false" customHeight="true" outlineLevel="0" collapsed="false">
      <c r="A391" s="1" t="n">
        <v>385</v>
      </c>
      <c r="B391" s="10" t="n">
        <f aca="false">A391/$B$4</f>
        <v>25.6666666666667</v>
      </c>
      <c r="C391" s="11" t="n">
        <f aca="false">B391*'Karnataka Fuel Rates'!$B$9</f>
        <v>2857.40583333333</v>
      </c>
      <c r="D391" s="10" t="n">
        <f aca="false">A391/$D$4</f>
        <v>21.3888888888889</v>
      </c>
      <c r="E391" s="11" t="n">
        <f aca="false">D391*'Karnataka Fuel Rates'!$C$9</f>
        <v>2123.16805555556</v>
      </c>
    </row>
    <row r="392" customFormat="false" ht="15" hidden="false" customHeight="true" outlineLevel="0" collapsed="false">
      <c r="A392" s="1" t="n">
        <v>386</v>
      </c>
      <c r="B392" s="10" t="n">
        <f aca="false">A392/$B$4</f>
        <v>25.7333333333333</v>
      </c>
      <c r="C392" s="11" t="n">
        <f aca="false">B392*'Karnataka Fuel Rates'!$B$9</f>
        <v>2864.82766666667</v>
      </c>
      <c r="D392" s="10" t="n">
        <f aca="false">A392/$D$4</f>
        <v>21.4444444444444</v>
      </c>
      <c r="E392" s="11" t="n">
        <f aca="false">D392*'Karnataka Fuel Rates'!$C$9</f>
        <v>2128.68277777778</v>
      </c>
    </row>
    <row r="393" customFormat="false" ht="15" hidden="false" customHeight="true" outlineLevel="0" collapsed="false">
      <c r="A393" s="1" t="n">
        <v>387</v>
      </c>
      <c r="B393" s="10" t="n">
        <f aca="false">A393/$B$4</f>
        <v>25.8</v>
      </c>
      <c r="C393" s="11" t="n">
        <f aca="false">B393*'Karnataka Fuel Rates'!$B$9</f>
        <v>2872.2495</v>
      </c>
      <c r="D393" s="10" t="n">
        <f aca="false">A393/$D$4</f>
        <v>21.5</v>
      </c>
      <c r="E393" s="11" t="n">
        <f aca="false">D393*'Karnataka Fuel Rates'!$C$9</f>
        <v>2134.1975</v>
      </c>
    </row>
    <row r="394" customFormat="false" ht="15" hidden="false" customHeight="true" outlineLevel="0" collapsed="false">
      <c r="A394" s="1" t="n">
        <v>388</v>
      </c>
      <c r="B394" s="10" t="n">
        <f aca="false">A394/$B$4</f>
        <v>25.8666666666667</v>
      </c>
      <c r="C394" s="11" t="n">
        <f aca="false">B394*'Karnataka Fuel Rates'!$B$9</f>
        <v>2879.67133333333</v>
      </c>
      <c r="D394" s="10" t="n">
        <f aca="false">A394/$D$4</f>
        <v>21.5555555555556</v>
      </c>
      <c r="E394" s="11" t="n">
        <f aca="false">D394*'Karnataka Fuel Rates'!$C$9</f>
        <v>2139.71222222222</v>
      </c>
    </row>
    <row r="395" customFormat="false" ht="15" hidden="false" customHeight="true" outlineLevel="0" collapsed="false">
      <c r="A395" s="1" t="n">
        <v>389</v>
      </c>
      <c r="B395" s="10" t="n">
        <f aca="false">A395/$B$4</f>
        <v>25.9333333333333</v>
      </c>
      <c r="C395" s="11" t="n">
        <f aca="false">B395*'Karnataka Fuel Rates'!$B$9</f>
        <v>2887.09316666667</v>
      </c>
      <c r="D395" s="10" t="n">
        <f aca="false">A395/$D$4</f>
        <v>21.6111111111111</v>
      </c>
      <c r="E395" s="11" t="n">
        <f aca="false">D395*'Karnataka Fuel Rates'!$C$9</f>
        <v>2145.22694444444</v>
      </c>
    </row>
    <row r="396" customFormat="false" ht="15" hidden="false" customHeight="true" outlineLevel="0" collapsed="false">
      <c r="A396" s="1" t="n">
        <v>390</v>
      </c>
      <c r="B396" s="10" t="n">
        <f aca="false">A396/$B$4</f>
        <v>26</v>
      </c>
      <c r="C396" s="11" t="n">
        <f aca="false">B396*'Karnataka Fuel Rates'!$B$9</f>
        <v>2894.515</v>
      </c>
      <c r="D396" s="10" t="n">
        <f aca="false">A396/$D$4</f>
        <v>21.6666666666667</v>
      </c>
      <c r="E396" s="11" t="n">
        <f aca="false">D396*'Karnataka Fuel Rates'!$C$9</f>
        <v>2150.74166666667</v>
      </c>
    </row>
    <row r="397" customFormat="false" ht="15" hidden="false" customHeight="true" outlineLevel="0" collapsed="false">
      <c r="A397" s="1" t="n">
        <v>391</v>
      </c>
      <c r="B397" s="10" t="n">
        <f aca="false">A397/$B$4</f>
        <v>26.0666666666667</v>
      </c>
      <c r="C397" s="11" t="n">
        <f aca="false">B397*'Karnataka Fuel Rates'!$B$9</f>
        <v>2901.93683333333</v>
      </c>
      <c r="D397" s="10" t="n">
        <f aca="false">A397/$D$4</f>
        <v>21.7222222222222</v>
      </c>
      <c r="E397" s="11" t="n">
        <f aca="false">D397*'Karnataka Fuel Rates'!$C$9</f>
        <v>2156.25638888889</v>
      </c>
    </row>
    <row r="398" customFormat="false" ht="15" hidden="false" customHeight="true" outlineLevel="0" collapsed="false">
      <c r="A398" s="1" t="n">
        <v>392</v>
      </c>
      <c r="B398" s="10" t="n">
        <f aca="false">A398/$B$4</f>
        <v>26.1333333333333</v>
      </c>
      <c r="C398" s="11" t="n">
        <f aca="false">B398*'Karnataka Fuel Rates'!$B$9</f>
        <v>2909.35866666667</v>
      </c>
      <c r="D398" s="10" t="n">
        <f aca="false">A398/$D$4</f>
        <v>21.7777777777778</v>
      </c>
      <c r="E398" s="11" t="n">
        <f aca="false">D398*'Karnataka Fuel Rates'!$C$9</f>
        <v>2161.77111111111</v>
      </c>
    </row>
    <row r="399" customFormat="false" ht="15" hidden="false" customHeight="true" outlineLevel="0" collapsed="false">
      <c r="A399" s="1" t="n">
        <v>393</v>
      </c>
      <c r="B399" s="10" t="n">
        <f aca="false">A399/$B$4</f>
        <v>26.2</v>
      </c>
      <c r="C399" s="11" t="n">
        <f aca="false">B399*'Karnataka Fuel Rates'!$B$9</f>
        <v>2916.7805</v>
      </c>
      <c r="D399" s="10" t="n">
        <f aca="false">A399/$D$4</f>
        <v>21.8333333333333</v>
      </c>
      <c r="E399" s="11" t="n">
        <f aca="false">D399*'Karnataka Fuel Rates'!$C$9</f>
        <v>2167.28583333333</v>
      </c>
    </row>
    <row r="400" customFormat="false" ht="15" hidden="false" customHeight="true" outlineLevel="0" collapsed="false">
      <c r="A400" s="1" t="n">
        <v>394</v>
      </c>
      <c r="B400" s="10" t="n">
        <f aca="false">A400/$B$4</f>
        <v>26.2666666666667</v>
      </c>
      <c r="C400" s="11" t="n">
        <f aca="false">B400*'Karnataka Fuel Rates'!$B$9</f>
        <v>2924.20233333333</v>
      </c>
      <c r="D400" s="10" t="n">
        <f aca="false">A400/$D$4</f>
        <v>21.8888888888889</v>
      </c>
      <c r="E400" s="11" t="n">
        <f aca="false">D400*'Karnataka Fuel Rates'!$C$9</f>
        <v>2172.80055555556</v>
      </c>
    </row>
    <row r="401" customFormat="false" ht="15" hidden="false" customHeight="true" outlineLevel="0" collapsed="false">
      <c r="A401" s="1" t="n">
        <v>395</v>
      </c>
      <c r="B401" s="10" t="n">
        <f aca="false">A401/$B$4</f>
        <v>26.3333333333333</v>
      </c>
      <c r="C401" s="11" t="n">
        <f aca="false">B401*'Karnataka Fuel Rates'!$B$9</f>
        <v>2931.62416666667</v>
      </c>
      <c r="D401" s="10" t="n">
        <f aca="false">A401/$D$4</f>
        <v>21.9444444444444</v>
      </c>
      <c r="E401" s="11" t="n">
        <f aca="false">D401*'Karnataka Fuel Rates'!$C$9</f>
        <v>2178.31527777778</v>
      </c>
    </row>
    <row r="402" customFormat="false" ht="15" hidden="false" customHeight="true" outlineLevel="0" collapsed="false">
      <c r="A402" s="1" t="n">
        <v>396</v>
      </c>
      <c r="B402" s="10" t="n">
        <f aca="false">A402/$B$4</f>
        <v>26.4</v>
      </c>
      <c r="C402" s="11" t="n">
        <f aca="false">B402*'Karnataka Fuel Rates'!$B$9</f>
        <v>2939.046</v>
      </c>
      <c r="D402" s="10" t="n">
        <f aca="false">A402/$D$4</f>
        <v>22</v>
      </c>
      <c r="E402" s="11" t="n">
        <f aca="false">D402*'Karnataka Fuel Rates'!$C$9</f>
        <v>2183.83</v>
      </c>
    </row>
    <row r="403" customFormat="false" ht="15" hidden="false" customHeight="true" outlineLevel="0" collapsed="false">
      <c r="A403" s="1" t="n">
        <v>397</v>
      </c>
      <c r="B403" s="10" t="n">
        <f aca="false">A403/$B$4</f>
        <v>26.4666666666667</v>
      </c>
      <c r="C403" s="11" t="n">
        <f aca="false">B403*'Karnataka Fuel Rates'!$B$9</f>
        <v>2946.46783333333</v>
      </c>
      <c r="D403" s="10" t="n">
        <f aca="false">A403/$D$4</f>
        <v>22.0555555555556</v>
      </c>
      <c r="E403" s="11" t="n">
        <f aca="false">D403*'Karnataka Fuel Rates'!$C$9</f>
        <v>2189.34472222222</v>
      </c>
    </row>
    <row r="404" customFormat="false" ht="15" hidden="false" customHeight="true" outlineLevel="0" collapsed="false">
      <c r="A404" s="1" t="n">
        <v>398</v>
      </c>
      <c r="B404" s="10" t="n">
        <f aca="false">A404/$B$4</f>
        <v>26.5333333333333</v>
      </c>
      <c r="C404" s="11" t="n">
        <f aca="false">B404*'Karnataka Fuel Rates'!$B$9</f>
        <v>2953.88966666667</v>
      </c>
      <c r="D404" s="10" t="n">
        <f aca="false">A404/$D$4</f>
        <v>22.1111111111111</v>
      </c>
      <c r="E404" s="11" t="n">
        <f aca="false">D404*'Karnataka Fuel Rates'!$C$9</f>
        <v>2194.85944444444</v>
      </c>
    </row>
    <row r="405" customFormat="false" ht="15" hidden="false" customHeight="true" outlineLevel="0" collapsed="false">
      <c r="A405" s="1" t="n">
        <v>399</v>
      </c>
      <c r="B405" s="10" t="n">
        <f aca="false">A405/$B$4</f>
        <v>26.6</v>
      </c>
      <c r="C405" s="11" t="n">
        <f aca="false">B405*'Karnataka Fuel Rates'!$B$9</f>
        <v>2961.3115</v>
      </c>
      <c r="D405" s="10" t="n">
        <f aca="false">A405/$D$4</f>
        <v>22.1666666666667</v>
      </c>
      <c r="E405" s="11" t="n">
        <f aca="false">D405*'Karnataka Fuel Rates'!$C$9</f>
        <v>2200.37416666667</v>
      </c>
    </row>
    <row r="406" customFormat="false" ht="15" hidden="false" customHeight="true" outlineLevel="0" collapsed="false">
      <c r="A406" s="1" t="n">
        <v>400</v>
      </c>
      <c r="B406" s="10" t="n">
        <f aca="false">A406/$B$4</f>
        <v>26.6666666666667</v>
      </c>
      <c r="C406" s="11" t="n">
        <f aca="false">B406*'Karnataka Fuel Rates'!$B$9</f>
        <v>2968.73333333333</v>
      </c>
      <c r="D406" s="10" t="n">
        <f aca="false">A406/$D$4</f>
        <v>22.2222222222222</v>
      </c>
      <c r="E406" s="11" t="n">
        <f aca="false">D406*'Karnataka Fuel Rates'!$C$9</f>
        <v>2205.88888888889</v>
      </c>
    </row>
    <row r="407" customFormat="false" ht="15" hidden="false" customHeight="true" outlineLevel="0" collapsed="false">
      <c r="A407" s="1" t="n">
        <v>401</v>
      </c>
      <c r="B407" s="10" t="n">
        <f aca="false">A407/$B$4</f>
        <v>26.7333333333333</v>
      </c>
      <c r="C407" s="11" t="n">
        <f aca="false">B407*'Karnataka Fuel Rates'!$B$9</f>
        <v>2976.15516666667</v>
      </c>
      <c r="D407" s="10" t="n">
        <f aca="false">A407/$D$4</f>
        <v>22.2777777777778</v>
      </c>
      <c r="E407" s="11" t="n">
        <f aca="false">D407*'Karnataka Fuel Rates'!$C$9</f>
        <v>2211.40361111111</v>
      </c>
    </row>
    <row r="408" customFormat="false" ht="15" hidden="false" customHeight="true" outlineLevel="0" collapsed="false">
      <c r="A408" s="1" t="n">
        <v>402</v>
      </c>
      <c r="B408" s="10" t="n">
        <f aca="false">A408/$B$4</f>
        <v>26.8</v>
      </c>
      <c r="C408" s="11" t="n">
        <f aca="false">B408*'Karnataka Fuel Rates'!$B$9</f>
        <v>2983.577</v>
      </c>
      <c r="D408" s="10" t="n">
        <f aca="false">A408/$D$4</f>
        <v>22.3333333333333</v>
      </c>
      <c r="E408" s="11" t="n">
        <f aca="false">D408*'Karnataka Fuel Rates'!$C$9</f>
        <v>2216.91833333333</v>
      </c>
    </row>
    <row r="409" customFormat="false" ht="15" hidden="false" customHeight="true" outlineLevel="0" collapsed="false">
      <c r="A409" s="1" t="n">
        <v>403</v>
      </c>
      <c r="B409" s="10" t="n">
        <f aca="false">A409/$B$4</f>
        <v>26.8666666666667</v>
      </c>
      <c r="C409" s="11" t="n">
        <f aca="false">B409*'Karnataka Fuel Rates'!$B$9</f>
        <v>2990.99883333333</v>
      </c>
      <c r="D409" s="10" t="n">
        <f aca="false">A409/$D$4</f>
        <v>22.3888888888889</v>
      </c>
      <c r="E409" s="11" t="n">
        <f aca="false">D409*'Karnataka Fuel Rates'!$C$9</f>
        <v>2222.43305555556</v>
      </c>
    </row>
    <row r="410" customFormat="false" ht="15" hidden="false" customHeight="true" outlineLevel="0" collapsed="false">
      <c r="A410" s="1" t="n">
        <v>404</v>
      </c>
      <c r="B410" s="10" t="n">
        <f aca="false">A410/$B$4</f>
        <v>26.9333333333333</v>
      </c>
      <c r="C410" s="11" t="n">
        <f aca="false">B410*'Karnataka Fuel Rates'!$B$9</f>
        <v>2998.42066666667</v>
      </c>
      <c r="D410" s="10" t="n">
        <f aca="false">A410/$D$4</f>
        <v>22.4444444444444</v>
      </c>
      <c r="E410" s="11" t="n">
        <f aca="false">D410*'Karnataka Fuel Rates'!$C$9</f>
        <v>2227.94777777778</v>
      </c>
    </row>
    <row r="411" customFormat="false" ht="15" hidden="false" customHeight="true" outlineLevel="0" collapsed="false">
      <c r="A411" s="1" t="n">
        <v>405</v>
      </c>
      <c r="B411" s="10" t="n">
        <f aca="false">A411/$B$4</f>
        <v>27</v>
      </c>
      <c r="C411" s="11" t="n">
        <f aca="false">B411*'Karnataka Fuel Rates'!$B$9</f>
        <v>3005.8425</v>
      </c>
      <c r="D411" s="10" t="n">
        <f aca="false">A411/$D$4</f>
        <v>22.5</v>
      </c>
      <c r="E411" s="11" t="n">
        <f aca="false">D411*'Karnataka Fuel Rates'!$C$9</f>
        <v>2233.4625</v>
      </c>
    </row>
    <row r="412" customFormat="false" ht="15" hidden="false" customHeight="true" outlineLevel="0" collapsed="false">
      <c r="A412" s="1" t="n">
        <v>406</v>
      </c>
      <c r="B412" s="10" t="n">
        <f aca="false">A412/$B$4</f>
        <v>27.0666666666667</v>
      </c>
      <c r="C412" s="11" t="n">
        <f aca="false">B412*'Karnataka Fuel Rates'!$B$9</f>
        <v>3013.26433333333</v>
      </c>
      <c r="D412" s="10" t="n">
        <f aca="false">A412/$D$4</f>
        <v>22.5555555555556</v>
      </c>
      <c r="E412" s="11" t="n">
        <f aca="false">D412*'Karnataka Fuel Rates'!$C$9</f>
        <v>2238.97722222222</v>
      </c>
    </row>
    <row r="413" customFormat="false" ht="15" hidden="false" customHeight="true" outlineLevel="0" collapsed="false">
      <c r="A413" s="1" t="n">
        <v>407</v>
      </c>
      <c r="B413" s="10" t="n">
        <f aca="false">A413/$B$4</f>
        <v>27.1333333333333</v>
      </c>
      <c r="C413" s="11" t="n">
        <f aca="false">B413*'Karnataka Fuel Rates'!$B$9</f>
        <v>3020.68616666667</v>
      </c>
      <c r="D413" s="10" t="n">
        <f aca="false">A413/$D$4</f>
        <v>22.6111111111111</v>
      </c>
      <c r="E413" s="11" t="n">
        <f aca="false">D413*'Karnataka Fuel Rates'!$C$9</f>
        <v>2244.49194444444</v>
      </c>
    </row>
    <row r="414" customFormat="false" ht="15" hidden="false" customHeight="true" outlineLevel="0" collapsed="false">
      <c r="A414" s="1" t="n">
        <v>408</v>
      </c>
      <c r="B414" s="10" t="n">
        <f aca="false">A414/$B$4</f>
        <v>27.2</v>
      </c>
      <c r="C414" s="11" t="n">
        <f aca="false">B414*'Karnataka Fuel Rates'!$B$9</f>
        <v>3028.108</v>
      </c>
      <c r="D414" s="10" t="n">
        <f aca="false">A414/$D$4</f>
        <v>22.6666666666667</v>
      </c>
      <c r="E414" s="11" t="n">
        <f aca="false">D414*'Karnataka Fuel Rates'!$C$9</f>
        <v>2250.00666666667</v>
      </c>
    </row>
    <row r="415" customFormat="false" ht="15" hidden="false" customHeight="true" outlineLevel="0" collapsed="false">
      <c r="A415" s="1" t="n">
        <v>409</v>
      </c>
      <c r="B415" s="10" t="n">
        <f aca="false">A415/$B$4</f>
        <v>27.2666666666667</v>
      </c>
      <c r="C415" s="11" t="n">
        <f aca="false">B415*'Karnataka Fuel Rates'!$B$9</f>
        <v>3035.52983333333</v>
      </c>
      <c r="D415" s="10" t="n">
        <f aca="false">A415/$D$4</f>
        <v>22.7222222222222</v>
      </c>
      <c r="E415" s="11" t="n">
        <f aca="false">D415*'Karnataka Fuel Rates'!$C$9</f>
        <v>2255.52138888889</v>
      </c>
    </row>
    <row r="416" customFormat="false" ht="15" hidden="false" customHeight="true" outlineLevel="0" collapsed="false">
      <c r="A416" s="1" t="n">
        <v>410</v>
      </c>
      <c r="B416" s="10" t="n">
        <f aca="false">A416/$B$4</f>
        <v>27.3333333333333</v>
      </c>
      <c r="C416" s="11" t="n">
        <f aca="false">B416*'Karnataka Fuel Rates'!$B$9</f>
        <v>3042.95166666667</v>
      </c>
      <c r="D416" s="10" t="n">
        <f aca="false">A416/$D$4</f>
        <v>22.7777777777778</v>
      </c>
      <c r="E416" s="11" t="n">
        <f aca="false">D416*'Karnataka Fuel Rates'!$C$9</f>
        <v>2261.03611111111</v>
      </c>
    </row>
    <row r="417" customFormat="false" ht="15" hidden="false" customHeight="true" outlineLevel="0" collapsed="false">
      <c r="A417" s="1" t="n">
        <v>411</v>
      </c>
      <c r="B417" s="10" t="n">
        <f aca="false">A417/$B$4</f>
        <v>27.4</v>
      </c>
      <c r="C417" s="11" t="n">
        <f aca="false">B417*'Karnataka Fuel Rates'!$B$9</f>
        <v>3050.3735</v>
      </c>
      <c r="D417" s="10" t="n">
        <f aca="false">A417/$D$4</f>
        <v>22.8333333333333</v>
      </c>
      <c r="E417" s="11" t="n">
        <f aca="false">D417*'Karnataka Fuel Rates'!$C$9</f>
        <v>2266.55083333333</v>
      </c>
    </row>
    <row r="418" customFormat="false" ht="15" hidden="false" customHeight="true" outlineLevel="0" collapsed="false">
      <c r="A418" s="1" t="n">
        <v>412</v>
      </c>
      <c r="B418" s="10" t="n">
        <f aca="false">A418/$B$4</f>
        <v>27.4666666666667</v>
      </c>
      <c r="C418" s="11" t="n">
        <f aca="false">B418*'Karnataka Fuel Rates'!$B$9</f>
        <v>3057.79533333333</v>
      </c>
      <c r="D418" s="10" t="n">
        <f aca="false">A418/$D$4</f>
        <v>22.8888888888889</v>
      </c>
      <c r="E418" s="11" t="n">
        <f aca="false">D418*'Karnataka Fuel Rates'!$C$9</f>
        <v>2272.06555555556</v>
      </c>
    </row>
    <row r="419" customFormat="false" ht="15" hidden="false" customHeight="true" outlineLevel="0" collapsed="false">
      <c r="A419" s="1" t="n">
        <v>413</v>
      </c>
      <c r="B419" s="10" t="n">
        <f aca="false">A419/$B$4</f>
        <v>27.5333333333333</v>
      </c>
      <c r="C419" s="11" t="n">
        <f aca="false">B419*'Karnataka Fuel Rates'!$B$9</f>
        <v>3065.21716666667</v>
      </c>
      <c r="D419" s="10" t="n">
        <f aca="false">A419/$D$4</f>
        <v>22.9444444444444</v>
      </c>
      <c r="E419" s="11" t="n">
        <f aca="false">D419*'Karnataka Fuel Rates'!$C$9</f>
        <v>2277.58027777778</v>
      </c>
    </row>
    <row r="420" customFormat="false" ht="15" hidden="false" customHeight="true" outlineLevel="0" collapsed="false">
      <c r="A420" s="1" t="n">
        <v>414</v>
      </c>
      <c r="B420" s="10" t="n">
        <f aca="false">A420/$B$4</f>
        <v>27.6</v>
      </c>
      <c r="C420" s="11" t="n">
        <f aca="false">B420*'Karnataka Fuel Rates'!$B$9</f>
        <v>3072.639</v>
      </c>
      <c r="D420" s="10" t="n">
        <f aca="false">A420/$D$4</f>
        <v>23</v>
      </c>
      <c r="E420" s="11" t="n">
        <f aca="false">D420*'Karnataka Fuel Rates'!$C$9</f>
        <v>2283.095</v>
      </c>
    </row>
    <row r="421" customFormat="false" ht="15" hidden="false" customHeight="true" outlineLevel="0" collapsed="false">
      <c r="A421" s="1" t="n">
        <v>415</v>
      </c>
      <c r="B421" s="10" t="n">
        <f aca="false">A421/$B$4</f>
        <v>27.6666666666667</v>
      </c>
      <c r="C421" s="11" t="n">
        <f aca="false">B421*'Karnataka Fuel Rates'!$B$9</f>
        <v>3080.06083333333</v>
      </c>
      <c r="D421" s="10" t="n">
        <f aca="false">A421/$D$4</f>
        <v>23.0555555555556</v>
      </c>
      <c r="E421" s="11" t="n">
        <f aca="false">D421*'Karnataka Fuel Rates'!$C$9</f>
        <v>2288.60972222222</v>
      </c>
    </row>
    <row r="422" customFormat="false" ht="15" hidden="false" customHeight="true" outlineLevel="0" collapsed="false">
      <c r="A422" s="1" t="n">
        <v>416</v>
      </c>
      <c r="B422" s="10" t="n">
        <f aca="false">A422/$B$4</f>
        <v>27.7333333333333</v>
      </c>
      <c r="C422" s="11" t="n">
        <f aca="false">B422*'Karnataka Fuel Rates'!$B$9</f>
        <v>3087.48266666667</v>
      </c>
      <c r="D422" s="10" t="n">
        <f aca="false">A422/$D$4</f>
        <v>23.1111111111111</v>
      </c>
      <c r="E422" s="11" t="n">
        <f aca="false">D422*'Karnataka Fuel Rates'!$C$9</f>
        <v>2294.12444444444</v>
      </c>
    </row>
    <row r="423" customFormat="false" ht="15" hidden="false" customHeight="true" outlineLevel="0" collapsed="false">
      <c r="A423" s="1" t="n">
        <v>417</v>
      </c>
      <c r="B423" s="10" t="n">
        <f aca="false">A423/$B$4</f>
        <v>27.8</v>
      </c>
      <c r="C423" s="11" t="n">
        <f aca="false">B423*'Karnataka Fuel Rates'!$B$9</f>
        <v>3094.9045</v>
      </c>
      <c r="D423" s="10" t="n">
        <f aca="false">A423/$D$4</f>
        <v>23.1666666666667</v>
      </c>
      <c r="E423" s="11" t="n">
        <f aca="false">D423*'Karnataka Fuel Rates'!$C$9</f>
        <v>2299.63916666667</v>
      </c>
    </row>
    <row r="424" customFormat="false" ht="15" hidden="false" customHeight="true" outlineLevel="0" collapsed="false">
      <c r="A424" s="1" t="n">
        <v>418</v>
      </c>
      <c r="B424" s="10" t="n">
        <f aca="false">A424/$B$4</f>
        <v>27.8666666666667</v>
      </c>
      <c r="C424" s="11" t="n">
        <f aca="false">B424*'Karnataka Fuel Rates'!$B$9</f>
        <v>3102.32633333333</v>
      </c>
      <c r="D424" s="10" t="n">
        <f aca="false">A424/$D$4</f>
        <v>23.2222222222222</v>
      </c>
      <c r="E424" s="11" t="n">
        <f aca="false">D424*'Karnataka Fuel Rates'!$C$9</f>
        <v>2305.15388888889</v>
      </c>
    </row>
    <row r="425" customFormat="false" ht="15" hidden="false" customHeight="true" outlineLevel="0" collapsed="false">
      <c r="A425" s="1" t="n">
        <v>419</v>
      </c>
      <c r="B425" s="10" t="n">
        <f aca="false">A425/$B$4</f>
        <v>27.9333333333333</v>
      </c>
      <c r="C425" s="11" t="n">
        <f aca="false">B425*'Karnataka Fuel Rates'!$B$9</f>
        <v>3109.74816666667</v>
      </c>
      <c r="D425" s="10" t="n">
        <f aca="false">A425/$D$4</f>
        <v>23.2777777777778</v>
      </c>
      <c r="E425" s="11" t="n">
        <f aca="false">D425*'Karnataka Fuel Rates'!$C$9</f>
        <v>2310.66861111111</v>
      </c>
    </row>
    <row r="426" customFormat="false" ht="15" hidden="false" customHeight="true" outlineLevel="0" collapsed="false">
      <c r="A426" s="1" t="n">
        <v>420</v>
      </c>
      <c r="B426" s="10" t="n">
        <f aca="false">A426/$B$4</f>
        <v>28</v>
      </c>
      <c r="C426" s="11" t="n">
        <f aca="false">B426*'Karnataka Fuel Rates'!$B$9</f>
        <v>3117.17</v>
      </c>
      <c r="D426" s="10" t="n">
        <f aca="false">A426/$D$4</f>
        <v>23.3333333333333</v>
      </c>
      <c r="E426" s="11" t="n">
        <f aca="false">D426*'Karnataka Fuel Rates'!$C$9</f>
        <v>2316.18333333333</v>
      </c>
    </row>
    <row r="427" customFormat="false" ht="15" hidden="false" customHeight="true" outlineLevel="0" collapsed="false">
      <c r="A427" s="1" t="n">
        <v>421</v>
      </c>
      <c r="B427" s="10" t="n">
        <f aca="false">A427/$B$4</f>
        <v>28.0666666666667</v>
      </c>
      <c r="C427" s="11" t="n">
        <f aca="false">B427*'Karnataka Fuel Rates'!$B$9</f>
        <v>3124.59183333333</v>
      </c>
      <c r="D427" s="10" t="n">
        <f aca="false">A427/$D$4</f>
        <v>23.3888888888889</v>
      </c>
      <c r="E427" s="11" t="n">
        <f aca="false">D427*'Karnataka Fuel Rates'!$C$9</f>
        <v>2321.69805555556</v>
      </c>
    </row>
    <row r="428" customFormat="false" ht="15" hidden="false" customHeight="true" outlineLevel="0" collapsed="false">
      <c r="A428" s="1" t="n">
        <v>422</v>
      </c>
      <c r="B428" s="10" t="n">
        <f aca="false">A428/$B$4</f>
        <v>28.1333333333333</v>
      </c>
      <c r="C428" s="11" t="n">
        <f aca="false">B428*'Karnataka Fuel Rates'!$B$9</f>
        <v>3132.01366666667</v>
      </c>
      <c r="D428" s="10" t="n">
        <f aca="false">A428/$D$4</f>
        <v>23.4444444444444</v>
      </c>
      <c r="E428" s="11" t="n">
        <f aca="false">D428*'Karnataka Fuel Rates'!$C$9</f>
        <v>2327.21277777778</v>
      </c>
    </row>
    <row r="429" customFormat="false" ht="15" hidden="false" customHeight="true" outlineLevel="0" collapsed="false">
      <c r="A429" s="1" t="n">
        <v>423</v>
      </c>
      <c r="B429" s="10" t="n">
        <f aca="false">A429/$B$4</f>
        <v>28.2</v>
      </c>
      <c r="C429" s="11" t="n">
        <f aca="false">B429*'Karnataka Fuel Rates'!$B$9</f>
        <v>3139.4355</v>
      </c>
      <c r="D429" s="10" t="n">
        <f aca="false">A429/$D$4</f>
        <v>23.5</v>
      </c>
      <c r="E429" s="11" t="n">
        <f aca="false">D429*'Karnataka Fuel Rates'!$C$9</f>
        <v>2332.7275</v>
      </c>
    </row>
    <row r="430" customFormat="false" ht="15" hidden="false" customHeight="true" outlineLevel="0" collapsed="false">
      <c r="A430" s="1" t="n">
        <v>424</v>
      </c>
      <c r="B430" s="10" t="n">
        <f aca="false">A430/$B$4</f>
        <v>28.2666666666667</v>
      </c>
      <c r="C430" s="11" t="n">
        <f aca="false">B430*'Karnataka Fuel Rates'!$B$9</f>
        <v>3146.85733333333</v>
      </c>
      <c r="D430" s="10" t="n">
        <f aca="false">A430/$D$4</f>
        <v>23.5555555555556</v>
      </c>
      <c r="E430" s="11" t="n">
        <f aca="false">D430*'Karnataka Fuel Rates'!$C$9</f>
        <v>2338.24222222222</v>
      </c>
    </row>
    <row r="431" customFormat="false" ht="15" hidden="false" customHeight="true" outlineLevel="0" collapsed="false">
      <c r="A431" s="1" t="n">
        <v>425</v>
      </c>
      <c r="B431" s="10" t="n">
        <f aca="false">A431/$B$4</f>
        <v>28.3333333333333</v>
      </c>
      <c r="C431" s="11" t="n">
        <f aca="false">B431*'Karnataka Fuel Rates'!$B$9</f>
        <v>3154.27916666667</v>
      </c>
      <c r="D431" s="10" t="n">
        <f aca="false">A431/$D$4</f>
        <v>23.6111111111111</v>
      </c>
      <c r="E431" s="11" t="n">
        <f aca="false">D431*'Karnataka Fuel Rates'!$C$9</f>
        <v>2343.75694444444</v>
      </c>
    </row>
    <row r="432" customFormat="false" ht="15" hidden="false" customHeight="true" outlineLevel="0" collapsed="false">
      <c r="A432" s="1" t="n">
        <v>426</v>
      </c>
      <c r="B432" s="10" t="n">
        <f aca="false">A432/$B$4</f>
        <v>28.4</v>
      </c>
      <c r="C432" s="11" t="n">
        <f aca="false">B432*'Karnataka Fuel Rates'!$B$9</f>
        <v>3161.701</v>
      </c>
      <c r="D432" s="10" t="n">
        <f aca="false">A432/$D$4</f>
        <v>23.6666666666667</v>
      </c>
      <c r="E432" s="11" t="n">
        <f aca="false">D432*'Karnataka Fuel Rates'!$C$9</f>
        <v>2349.27166666667</v>
      </c>
    </row>
    <row r="433" customFormat="false" ht="15" hidden="false" customHeight="true" outlineLevel="0" collapsed="false">
      <c r="A433" s="1" t="n">
        <v>427</v>
      </c>
      <c r="B433" s="10" t="n">
        <f aca="false">A433/$B$4</f>
        <v>28.4666666666667</v>
      </c>
      <c r="C433" s="11" t="n">
        <f aca="false">B433*'Karnataka Fuel Rates'!$B$9</f>
        <v>3169.12283333333</v>
      </c>
      <c r="D433" s="10" t="n">
        <f aca="false">A433/$D$4</f>
        <v>23.7222222222222</v>
      </c>
      <c r="E433" s="11" t="n">
        <f aca="false">D433*'Karnataka Fuel Rates'!$C$9</f>
        <v>2354.78638888889</v>
      </c>
    </row>
    <row r="434" customFormat="false" ht="15" hidden="false" customHeight="true" outlineLevel="0" collapsed="false">
      <c r="A434" s="1" t="n">
        <v>428</v>
      </c>
      <c r="B434" s="10" t="n">
        <f aca="false">A434/$B$4</f>
        <v>28.5333333333333</v>
      </c>
      <c r="C434" s="11" t="n">
        <f aca="false">B434*'Karnataka Fuel Rates'!$B$9</f>
        <v>3176.54466666667</v>
      </c>
      <c r="D434" s="10" t="n">
        <f aca="false">A434/$D$4</f>
        <v>23.7777777777778</v>
      </c>
      <c r="E434" s="11" t="n">
        <f aca="false">D434*'Karnataka Fuel Rates'!$C$9</f>
        <v>2360.30111111111</v>
      </c>
    </row>
    <row r="435" customFormat="false" ht="15" hidden="false" customHeight="true" outlineLevel="0" collapsed="false">
      <c r="A435" s="1" t="n">
        <v>429</v>
      </c>
      <c r="B435" s="10" t="n">
        <f aca="false">A435/$B$4</f>
        <v>28.6</v>
      </c>
      <c r="C435" s="11" t="n">
        <f aca="false">B435*'Karnataka Fuel Rates'!$B$9</f>
        <v>3183.9665</v>
      </c>
      <c r="D435" s="10" t="n">
        <f aca="false">A435/$D$4</f>
        <v>23.8333333333333</v>
      </c>
      <c r="E435" s="11" t="n">
        <f aca="false">D435*'Karnataka Fuel Rates'!$C$9</f>
        <v>2365.81583333333</v>
      </c>
    </row>
    <row r="436" customFormat="false" ht="15" hidden="false" customHeight="true" outlineLevel="0" collapsed="false">
      <c r="A436" s="1" t="n">
        <v>430</v>
      </c>
      <c r="B436" s="10" t="n">
        <f aca="false">A436/$B$4</f>
        <v>28.6666666666667</v>
      </c>
      <c r="C436" s="11" t="n">
        <f aca="false">B436*'Karnataka Fuel Rates'!$B$9</f>
        <v>3191.38833333333</v>
      </c>
      <c r="D436" s="10" t="n">
        <f aca="false">A436/$D$4</f>
        <v>23.8888888888889</v>
      </c>
      <c r="E436" s="11" t="n">
        <f aca="false">D436*'Karnataka Fuel Rates'!$C$9</f>
        <v>2371.33055555556</v>
      </c>
    </row>
    <row r="437" customFormat="false" ht="15" hidden="false" customHeight="true" outlineLevel="0" collapsed="false">
      <c r="A437" s="1" t="n">
        <v>431</v>
      </c>
      <c r="B437" s="10" t="n">
        <f aca="false">A437/$B$4</f>
        <v>28.7333333333333</v>
      </c>
      <c r="C437" s="11" t="n">
        <f aca="false">B437*'Karnataka Fuel Rates'!$B$9</f>
        <v>3198.81016666667</v>
      </c>
      <c r="D437" s="10" t="n">
        <f aca="false">A437/$D$4</f>
        <v>23.9444444444444</v>
      </c>
      <c r="E437" s="11" t="n">
        <f aca="false">D437*'Karnataka Fuel Rates'!$C$9</f>
        <v>2376.84527777778</v>
      </c>
    </row>
    <row r="438" customFormat="false" ht="15" hidden="false" customHeight="true" outlineLevel="0" collapsed="false">
      <c r="A438" s="1" t="n">
        <v>432</v>
      </c>
      <c r="B438" s="10" t="n">
        <f aca="false">A438/$B$4</f>
        <v>28.8</v>
      </c>
      <c r="C438" s="11" t="n">
        <f aca="false">B438*'Karnataka Fuel Rates'!$B$9</f>
        <v>3206.232</v>
      </c>
      <c r="D438" s="10" t="n">
        <f aca="false">A438/$D$4</f>
        <v>24</v>
      </c>
      <c r="E438" s="11" t="n">
        <f aca="false">D438*'Karnataka Fuel Rates'!$C$9</f>
        <v>2382.36</v>
      </c>
    </row>
    <row r="439" customFormat="false" ht="15" hidden="false" customHeight="true" outlineLevel="0" collapsed="false">
      <c r="A439" s="1" t="n">
        <v>433</v>
      </c>
      <c r="B439" s="10" t="n">
        <f aca="false">A439/$B$4</f>
        <v>28.8666666666667</v>
      </c>
      <c r="C439" s="11" t="n">
        <f aca="false">B439*'Karnataka Fuel Rates'!$B$9</f>
        <v>3213.65383333333</v>
      </c>
      <c r="D439" s="10" t="n">
        <f aca="false">A439/$D$4</f>
        <v>24.0555555555556</v>
      </c>
      <c r="E439" s="11" t="n">
        <f aca="false">D439*'Karnataka Fuel Rates'!$C$9</f>
        <v>2387.87472222222</v>
      </c>
    </row>
    <row r="440" customFormat="false" ht="15" hidden="false" customHeight="true" outlineLevel="0" collapsed="false">
      <c r="A440" s="1" t="n">
        <v>434</v>
      </c>
      <c r="B440" s="10" t="n">
        <f aca="false">A440/$B$4</f>
        <v>28.9333333333333</v>
      </c>
      <c r="C440" s="11" t="n">
        <f aca="false">B440*'Karnataka Fuel Rates'!$B$9</f>
        <v>3221.07566666667</v>
      </c>
      <c r="D440" s="10" t="n">
        <f aca="false">A440/$D$4</f>
        <v>24.1111111111111</v>
      </c>
      <c r="E440" s="11" t="n">
        <f aca="false">D440*'Karnataka Fuel Rates'!$C$9</f>
        <v>2393.38944444444</v>
      </c>
    </row>
    <row r="441" customFormat="false" ht="15" hidden="false" customHeight="true" outlineLevel="0" collapsed="false">
      <c r="A441" s="1" t="n">
        <v>435</v>
      </c>
      <c r="B441" s="10" t="n">
        <f aca="false">A441/$B$4</f>
        <v>29</v>
      </c>
      <c r="C441" s="11" t="n">
        <f aca="false">B441*'Karnataka Fuel Rates'!$B$9</f>
        <v>3228.4975</v>
      </c>
      <c r="D441" s="10" t="n">
        <f aca="false">A441/$D$4</f>
        <v>24.1666666666667</v>
      </c>
      <c r="E441" s="11" t="n">
        <f aca="false">D441*'Karnataka Fuel Rates'!$C$9</f>
        <v>2398.90416666667</v>
      </c>
    </row>
    <row r="442" customFormat="false" ht="15" hidden="false" customHeight="true" outlineLevel="0" collapsed="false">
      <c r="A442" s="1" t="n">
        <v>436</v>
      </c>
      <c r="B442" s="10" t="n">
        <f aca="false">A442/$B$4</f>
        <v>29.0666666666667</v>
      </c>
      <c r="C442" s="11" t="n">
        <f aca="false">B442*'Karnataka Fuel Rates'!$B$9</f>
        <v>3235.91933333333</v>
      </c>
      <c r="D442" s="10" t="n">
        <f aca="false">A442/$D$4</f>
        <v>24.2222222222222</v>
      </c>
      <c r="E442" s="11" t="n">
        <f aca="false">D442*'Karnataka Fuel Rates'!$C$9</f>
        <v>2404.41888888889</v>
      </c>
    </row>
    <row r="443" customFormat="false" ht="15" hidden="false" customHeight="true" outlineLevel="0" collapsed="false">
      <c r="A443" s="1" t="n">
        <v>437</v>
      </c>
      <c r="B443" s="10" t="n">
        <f aca="false">A443/$B$4</f>
        <v>29.1333333333333</v>
      </c>
      <c r="C443" s="11" t="n">
        <f aca="false">B443*'Karnataka Fuel Rates'!$B$9</f>
        <v>3243.34116666667</v>
      </c>
      <c r="D443" s="10" t="n">
        <f aca="false">A443/$D$4</f>
        <v>24.2777777777778</v>
      </c>
      <c r="E443" s="11" t="n">
        <f aca="false">D443*'Karnataka Fuel Rates'!$C$9</f>
        <v>2409.93361111111</v>
      </c>
    </row>
    <row r="444" customFormat="false" ht="15" hidden="false" customHeight="true" outlineLevel="0" collapsed="false">
      <c r="A444" s="1" t="n">
        <v>438</v>
      </c>
      <c r="B444" s="10" t="n">
        <f aca="false">A444/$B$4</f>
        <v>29.2</v>
      </c>
      <c r="C444" s="11" t="n">
        <f aca="false">B444*'Karnataka Fuel Rates'!$B$9</f>
        <v>3250.763</v>
      </c>
      <c r="D444" s="10" t="n">
        <f aca="false">A444/$D$4</f>
        <v>24.3333333333333</v>
      </c>
      <c r="E444" s="11" t="n">
        <f aca="false">D444*'Karnataka Fuel Rates'!$C$9</f>
        <v>2415.44833333333</v>
      </c>
    </row>
    <row r="445" customFormat="false" ht="15" hidden="false" customHeight="true" outlineLevel="0" collapsed="false">
      <c r="A445" s="1" t="n">
        <v>439</v>
      </c>
      <c r="B445" s="10" t="n">
        <f aca="false">A445/$B$4</f>
        <v>29.2666666666667</v>
      </c>
      <c r="C445" s="11" t="n">
        <f aca="false">B445*'Karnataka Fuel Rates'!$B$9</f>
        <v>3258.18483333333</v>
      </c>
      <c r="D445" s="10" t="n">
        <f aca="false">A445/$D$4</f>
        <v>24.3888888888889</v>
      </c>
      <c r="E445" s="11" t="n">
        <f aca="false">D445*'Karnataka Fuel Rates'!$C$9</f>
        <v>2420.96305555556</v>
      </c>
    </row>
    <row r="446" customFormat="false" ht="15" hidden="false" customHeight="true" outlineLevel="0" collapsed="false">
      <c r="A446" s="1" t="n">
        <v>440</v>
      </c>
      <c r="B446" s="10" t="n">
        <f aca="false">A446/$B$4</f>
        <v>29.3333333333333</v>
      </c>
      <c r="C446" s="11" t="n">
        <f aca="false">B446*'Karnataka Fuel Rates'!$B$9</f>
        <v>3265.60666666667</v>
      </c>
      <c r="D446" s="10" t="n">
        <f aca="false">A446/$D$4</f>
        <v>24.4444444444444</v>
      </c>
      <c r="E446" s="11" t="n">
        <f aca="false">D446*'Karnataka Fuel Rates'!$C$9</f>
        <v>2426.47777777778</v>
      </c>
    </row>
    <row r="447" customFormat="false" ht="15" hidden="false" customHeight="true" outlineLevel="0" collapsed="false">
      <c r="A447" s="1" t="n">
        <v>441</v>
      </c>
      <c r="B447" s="10" t="n">
        <f aca="false">A447/$B$4</f>
        <v>29.4</v>
      </c>
      <c r="C447" s="11" t="n">
        <f aca="false">B447*'Karnataka Fuel Rates'!$B$9</f>
        <v>3273.0285</v>
      </c>
      <c r="D447" s="10" t="n">
        <f aca="false">A447/$D$4</f>
        <v>24.5</v>
      </c>
      <c r="E447" s="11" t="n">
        <f aca="false">D447*'Karnataka Fuel Rates'!$C$9</f>
        <v>2431.9925</v>
      </c>
    </row>
    <row r="448" customFormat="false" ht="15" hidden="false" customHeight="true" outlineLevel="0" collapsed="false">
      <c r="A448" s="1" t="n">
        <v>442</v>
      </c>
      <c r="B448" s="10" t="n">
        <f aca="false">A448/$B$4</f>
        <v>29.4666666666667</v>
      </c>
      <c r="C448" s="11" t="n">
        <f aca="false">B448*'Karnataka Fuel Rates'!$B$9</f>
        <v>3280.45033333333</v>
      </c>
      <c r="D448" s="10" t="n">
        <f aca="false">A448/$D$4</f>
        <v>24.5555555555556</v>
      </c>
      <c r="E448" s="11" t="n">
        <f aca="false">D448*'Karnataka Fuel Rates'!$C$9</f>
        <v>2437.50722222222</v>
      </c>
    </row>
    <row r="449" customFormat="false" ht="15" hidden="false" customHeight="true" outlineLevel="0" collapsed="false">
      <c r="A449" s="1" t="n">
        <v>443</v>
      </c>
      <c r="B449" s="10" t="n">
        <f aca="false">A449/$B$4</f>
        <v>29.5333333333333</v>
      </c>
      <c r="C449" s="11" t="n">
        <f aca="false">B449*'Karnataka Fuel Rates'!$B$9</f>
        <v>3287.87216666667</v>
      </c>
      <c r="D449" s="10" t="n">
        <f aca="false">A449/$D$4</f>
        <v>24.6111111111111</v>
      </c>
      <c r="E449" s="11" t="n">
        <f aca="false">D449*'Karnataka Fuel Rates'!$C$9</f>
        <v>2443.02194444444</v>
      </c>
    </row>
    <row r="450" customFormat="false" ht="15" hidden="false" customHeight="true" outlineLevel="0" collapsed="false">
      <c r="A450" s="1" t="n">
        <v>444</v>
      </c>
      <c r="B450" s="10" t="n">
        <f aca="false">A450/$B$4</f>
        <v>29.6</v>
      </c>
      <c r="C450" s="11" t="n">
        <f aca="false">B450*'Karnataka Fuel Rates'!$B$9</f>
        <v>3295.294</v>
      </c>
      <c r="D450" s="10" t="n">
        <f aca="false">A450/$D$4</f>
        <v>24.6666666666667</v>
      </c>
      <c r="E450" s="11" t="n">
        <f aca="false">D450*'Karnataka Fuel Rates'!$C$9</f>
        <v>2448.53666666667</v>
      </c>
    </row>
    <row r="451" customFormat="false" ht="15" hidden="false" customHeight="true" outlineLevel="0" collapsed="false">
      <c r="A451" s="1" t="n">
        <v>445</v>
      </c>
      <c r="B451" s="10" t="n">
        <f aca="false">A451/$B$4</f>
        <v>29.6666666666667</v>
      </c>
      <c r="C451" s="11" t="n">
        <f aca="false">B451*'Karnataka Fuel Rates'!$B$9</f>
        <v>3302.71583333333</v>
      </c>
      <c r="D451" s="10" t="n">
        <f aca="false">A451/$D$4</f>
        <v>24.7222222222222</v>
      </c>
      <c r="E451" s="11" t="n">
        <f aca="false">D451*'Karnataka Fuel Rates'!$C$9</f>
        <v>2454.05138888889</v>
      </c>
    </row>
    <row r="452" customFormat="false" ht="15" hidden="false" customHeight="true" outlineLevel="0" collapsed="false">
      <c r="A452" s="1" t="n">
        <v>446</v>
      </c>
      <c r="B452" s="10" t="n">
        <f aca="false">A452/$B$4</f>
        <v>29.7333333333333</v>
      </c>
      <c r="C452" s="11" t="n">
        <f aca="false">B452*'Karnataka Fuel Rates'!$B$9</f>
        <v>3310.13766666667</v>
      </c>
      <c r="D452" s="10" t="n">
        <f aca="false">A452/$D$4</f>
        <v>24.7777777777778</v>
      </c>
      <c r="E452" s="11" t="n">
        <f aca="false">D452*'Karnataka Fuel Rates'!$C$9</f>
        <v>2459.56611111111</v>
      </c>
    </row>
    <row r="453" customFormat="false" ht="15" hidden="false" customHeight="true" outlineLevel="0" collapsed="false">
      <c r="A453" s="1" t="n">
        <v>447</v>
      </c>
      <c r="B453" s="10" t="n">
        <f aca="false">A453/$B$4</f>
        <v>29.8</v>
      </c>
      <c r="C453" s="11" t="n">
        <f aca="false">B453*'Karnataka Fuel Rates'!$B$9</f>
        <v>3317.5595</v>
      </c>
      <c r="D453" s="10" t="n">
        <f aca="false">A453/$D$4</f>
        <v>24.8333333333333</v>
      </c>
      <c r="E453" s="11" t="n">
        <f aca="false">D453*'Karnataka Fuel Rates'!$C$9</f>
        <v>2465.08083333333</v>
      </c>
    </row>
    <row r="454" customFormat="false" ht="15" hidden="false" customHeight="true" outlineLevel="0" collapsed="false">
      <c r="A454" s="1" t="n">
        <v>448</v>
      </c>
      <c r="B454" s="10" t="n">
        <f aca="false">A454/$B$4</f>
        <v>29.8666666666667</v>
      </c>
      <c r="C454" s="11" t="n">
        <f aca="false">B454*'Karnataka Fuel Rates'!$B$9</f>
        <v>3324.98133333333</v>
      </c>
      <c r="D454" s="10" t="n">
        <f aca="false">A454/$D$4</f>
        <v>24.8888888888889</v>
      </c>
      <c r="E454" s="11" t="n">
        <f aca="false">D454*'Karnataka Fuel Rates'!$C$9</f>
        <v>2470.59555555556</v>
      </c>
    </row>
    <row r="455" customFormat="false" ht="15" hidden="false" customHeight="true" outlineLevel="0" collapsed="false">
      <c r="A455" s="1" t="n">
        <v>449</v>
      </c>
      <c r="B455" s="10" t="n">
        <f aca="false">A455/$B$4</f>
        <v>29.9333333333333</v>
      </c>
      <c r="C455" s="11" t="n">
        <f aca="false">B455*'Karnataka Fuel Rates'!$B$9</f>
        <v>3332.40316666667</v>
      </c>
      <c r="D455" s="10" t="n">
        <f aca="false">A455/$D$4</f>
        <v>24.9444444444444</v>
      </c>
      <c r="E455" s="11" t="n">
        <f aca="false">D455*'Karnataka Fuel Rates'!$C$9</f>
        <v>2476.11027777778</v>
      </c>
    </row>
    <row r="456" customFormat="false" ht="15" hidden="false" customHeight="true" outlineLevel="0" collapsed="false">
      <c r="A456" s="1" t="n">
        <v>450</v>
      </c>
      <c r="B456" s="10" t="n">
        <f aca="false">A456/$B$4</f>
        <v>30</v>
      </c>
      <c r="C456" s="11" t="n">
        <f aca="false">B456*'Karnataka Fuel Rates'!$B$9</f>
        <v>3339.825</v>
      </c>
      <c r="D456" s="10" t="n">
        <f aca="false">A456/$D$4</f>
        <v>25</v>
      </c>
      <c r="E456" s="11" t="n">
        <f aca="false">D456*'Karnataka Fuel Rates'!$C$9</f>
        <v>2481.625</v>
      </c>
    </row>
    <row r="457" customFormat="false" ht="15" hidden="false" customHeight="true" outlineLevel="0" collapsed="false">
      <c r="A457" s="1" t="n">
        <v>451</v>
      </c>
      <c r="B457" s="10" t="n">
        <f aca="false">A457/$B$4</f>
        <v>30.0666666666667</v>
      </c>
      <c r="C457" s="11" t="n">
        <f aca="false">B457*'Karnataka Fuel Rates'!$B$9</f>
        <v>3347.24683333333</v>
      </c>
      <c r="D457" s="10" t="n">
        <f aca="false">A457/$D$4</f>
        <v>25.0555555555556</v>
      </c>
      <c r="E457" s="11" t="n">
        <f aca="false">D457*'Karnataka Fuel Rates'!$C$9</f>
        <v>2487.13972222222</v>
      </c>
    </row>
    <row r="458" customFormat="false" ht="15" hidden="false" customHeight="true" outlineLevel="0" collapsed="false">
      <c r="A458" s="1" t="n">
        <v>452</v>
      </c>
      <c r="B458" s="10" t="n">
        <f aca="false">A458/$B$4</f>
        <v>30.1333333333333</v>
      </c>
      <c r="C458" s="11" t="n">
        <f aca="false">B458*'Karnataka Fuel Rates'!$B$9</f>
        <v>3354.66866666667</v>
      </c>
      <c r="D458" s="10" t="n">
        <f aca="false">A458/$D$4</f>
        <v>25.1111111111111</v>
      </c>
      <c r="E458" s="11" t="n">
        <f aca="false">D458*'Karnataka Fuel Rates'!$C$9</f>
        <v>2492.65444444444</v>
      </c>
    </row>
    <row r="459" customFormat="false" ht="15" hidden="false" customHeight="true" outlineLevel="0" collapsed="false">
      <c r="A459" s="1" t="n">
        <v>453</v>
      </c>
      <c r="B459" s="10" t="n">
        <f aca="false">A459/$B$4</f>
        <v>30.2</v>
      </c>
      <c r="C459" s="11" t="n">
        <f aca="false">B459*'Karnataka Fuel Rates'!$B$9</f>
        <v>3362.0905</v>
      </c>
      <c r="D459" s="10" t="n">
        <f aca="false">A459/$D$4</f>
        <v>25.1666666666667</v>
      </c>
      <c r="E459" s="11" t="n">
        <f aca="false">D459*'Karnataka Fuel Rates'!$C$9</f>
        <v>2498.16916666667</v>
      </c>
    </row>
    <row r="460" customFormat="false" ht="15" hidden="false" customHeight="true" outlineLevel="0" collapsed="false">
      <c r="A460" s="1" t="n">
        <v>454</v>
      </c>
      <c r="B460" s="10" t="n">
        <f aca="false">A460/$B$4</f>
        <v>30.2666666666667</v>
      </c>
      <c r="C460" s="11" t="n">
        <f aca="false">B460*'Karnataka Fuel Rates'!$B$9</f>
        <v>3369.51233333333</v>
      </c>
      <c r="D460" s="10" t="n">
        <f aca="false">A460/$D$4</f>
        <v>25.2222222222222</v>
      </c>
      <c r="E460" s="11" t="n">
        <f aca="false">D460*'Karnataka Fuel Rates'!$C$9</f>
        <v>2503.68388888889</v>
      </c>
    </row>
    <row r="461" customFormat="false" ht="15" hidden="false" customHeight="true" outlineLevel="0" collapsed="false">
      <c r="A461" s="1" t="n">
        <v>455</v>
      </c>
      <c r="B461" s="10" t="n">
        <f aca="false">A461/$B$4</f>
        <v>30.3333333333333</v>
      </c>
      <c r="C461" s="11" t="n">
        <f aca="false">B461*'Karnataka Fuel Rates'!$B$9</f>
        <v>3376.93416666667</v>
      </c>
      <c r="D461" s="10" t="n">
        <f aca="false">A461/$D$4</f>
        <v>25.2777777777778</v>
      </c>
      <c r="E461" s="11" t="n">
        <f aca="false">D461*'Karnataka Fuel Rates'!$C$9</f>
        <v>2509.19861111111</v>
      </c>
    </row>
    <row r="462" customFormat="false" ht="15" hidden="false" customHeight="true" outlineLevel="0" collapsed="false">
      <c r="A462" s="1" t="n">
        <v>456</v>
      </c>
      <c r="B462" s="10" t="n">
        <f aca="false">A462/$B$4</f>
        <v>30.4</v>
      </c>
      <c r="C462" s="11" t="n">
        <f aca="false">B462*'Karnataka Fuel Rates'!$B$9</f>
        <v>3384.356</v>
      </c>
      <c r="D462" s="10" t="n">
        <f aca="false">A462/$D$4</f>
        <v>25.3333333333333</v>
      </c>
      <c r="E462" s="11" t="n">
        <f aca="false">D462*'Karnataka Fuel Rates'!$C$9</f>
        <v>2514.71333333333</v>
      </c>
    </row>
    <row r="463" customFormat="false" ht="15" hidden="false" customHeight="true" outlineLevel="0" collapsed="false">
      <c r="A463" s="1" t="n">
        <v>457</v>
      </c>
      <c r="B463" s="10" t="n">
        <f aca="false">A463/$B$4</f>
        <v>30.4666666666667</v>
      </c>
      <c r="C463" s="11" t="n">
        <f aca="false">B463*'Karnataka Fuel Rates'!$B$9</f>
        <v>3391.77783333333</v>
      </c>
      <c r="D463" s="10" t="n">
        <f aca="false">A463/$D$4</f>
        <v>25.3888888888889</v>
      </c>
      <c r="E463" s="11" t="n">
        <f aca="false">D463*'Karnataka Fuel Rates'!$C$9</f>
        <v>2520.22805555556</v>
      </c>
    </row>
    <row r="464" customFormat="false" ht="15" hidden="false" customHeight="true" outlineLevel="0" collapsed="false">
      <c r="A464" s="1" t="n">
        <v>458</v>
      </c>
      <c r="B464" s="10" t="n">
        <f aca="false">A464/$B$4</f>
        <v>30.5333333333333</v>
      </c>
      <c r="C464" s="11" t="n">
        <f aca="false">B464*'Karnataka Fuel Rates'!$B$9</f>
        <v>3399.19966666667</v>
      </c>
      <c r="D464" s="10" t="n">
        <f aca="false">A464/$D$4</f>
        <v>25.4444444444444</v>
      </c>
      <c r="E464" s="11" t="n">
        <f aca="false">D464*'Karnataka Fuel Rates'!$C$9</f>
        <v>2525.74277777778</v>
      </c>
    </row>
    <row r="465" customFormat="false" ht="15" hidden="false" customHeight="true" outlineLevel="0" collapsed="false">
      <c r="A465" s="1" t="n">
        <v>459</v>
      </c>
      <c r="B465" s="10" t="n">
        <f aca="false">A465/$B$4</f>
        <v>30.6</v>
      </c>
      <c r="C465" s="11" t="n">
        <f aca="false">B465*'Karnataka Fuel Rates'!$B$9</f>
        <v>3406.6215</v>
      </c>
      <c r="D465" s="10" t="n">
        <f aca="false">A465/$D$4</f>
        <v>25.5</v>
      </c>
      <c r="E465" s="11" t="n">
        <f aca="false">D465*'Karnataka Fuel Rates'!$C$9</f>
        <v>2531.2575</v>
      </c>
    </row>
    <row r="466" customFormat="false" ht="15" hidden="false" customHeight="true" outlineLevel="0" collapsed="false">
      <c r="A466" s="1" t="n">
        <v>460</v>
      </c>
      <c r="B466" s="10" t="n">
        <f aca="false">A466/$B$4</f>
        <v>30.6666666666667</v>
      </c>
      <c r="C466" s="11" t="n">
        <f aca="false">B466*'Karnataka Fuel Rates'!$B$9</f>
        <v>3414.04333333333</v>
      </c>
      <c r="D466" s="10" t="n">
        <f aca="false">A466/$D$4</f>
        <v>25.5555555555556</v>
      </c>
      <c r="E466" s="11" t="n">
        <f aca="false">D466*'Karnataka Fuel Rates'!$C$9</f>
        <v>2536.77222222222</v>
      </c>
    </row>
    <row r="467" customFormat="false" ht="15" hidden="false" customHeight="true" outlineLevel="0" collapsed="false">
      <c r="A467" s="1" t="n">
        <v>461</v>
      </c>
      <c r="B467" s="10" t="n">
        <f aca="false">A467/$B$4</f>
        <v>30.7333333333333</v>
      </c>
      <c r="C467" s="11" t="n">
        <f aca="false">B467*'Karnataka Fuel Rates'!$B$9</f>
        <v>3421.46516666667</v>
      </c>
      <c r="D467" s="10" t="n">
        <f aca="false">A467/$D$4</f>
        <v>25.6111111111111</v>
      </c>
      <c r="E467" s="11" t="n">
        <f aca="false">D467*'Karnataka Fuel Rates'!$C$9</f>
        <v>2542.28694444444</v>
      </c>
    </row>
    <row r="468" customFormat="false" ht="15" hidden="false" customHeight="true" outlineLevel="0" collapsed="false">
      <c r="A468" s="1" t="n">
        <v>462</v>
      </c>
      <c r="B468" s="10" t="n">
        <f aca="false">A468/$B$4</f>
        <v>30.8</v>
      </c>
      <c r="C468" s="11" t="n">
        <f aca="false">B468*'Karnataka Fuel Rates'!$B$9</f>
        <v>3428.887</v>
      </c>
      <c r="D468" s="10" t="n">
        <f aca="false">A468/$D$4</f>
        <v>25.6666666666667</v>
      </c>
      <c r="E468" s="11" t="n">
        <f aca="false">D468*'Karnataka Fuel Rates'!$C$9</f>
        <v>2547.80166666667</v>
      </c>
    </row>
    <row r="469" customFormat="false" ht="15" hidden="false" customHeight="true" outlineLevel="0" collapsed="false">
      <c r="A469" s="1" t="n">
        <v>463</v>
      </c>
      <c r="B469" s="10" t="n">
        <f aca="false">A469/$B$4</f>
        <v>30.8666666666667</v>
      </c>
      <c r="C469" s="11" t="n">
        <f aca="false">B469*'Karnataka Fuel Rates'!$B$9</f>
        <v>3436.30883333333</v>
      </c>
      <c r="D469" s="10" t="n">
        <f aca="false">A469/$D$4</f>
        <v>25.7222222222222</v>
      </c>
      <c r="E469" s="11" t="n">
        <f aca="false">D469*'Karnataka Fuel Rates'!$C$9</f>
        <v>2553.31638888889</v>
      </c>
    </row>
    <row r="470" customFormat="false" ht="15" hidden="false" customHeight="true" outlineLevel="0" collapsed="false">
      <c r="A470" s="1" t="n">
        <v>464</v>
      </c>
      <c r="B470" s="10" t="n">
        <f aca="false">A470/$B$4</f>
        <v>30.9333333333333</v>
      </c>
      <c r="C470" s="11" t="n">
        <f aca="false">B470*'Karnataka Fuel Rates'!$B$9</f>
        <v>3443.73066666667</v>
      </c>
      <c r="D470" s="10" t="n">
        <f aca="false">A470/$D$4</f>
        <v>25.7777777777778</v>
      </c>
      <c r="E470" s="11" t="n">
        <f aca="false">D470*'Karnataka Fuel Rates'!$C$9</f>
        <v>2558.83111111111</v>
      </c>
    </row>
    <row r="471" customFormat="false" ht="15" hidden="false" customHeight="true" outlineLevel="0" collapsed="false">
      <c r="A471" s="1" t="n">
        <v>465</v>
      </c>
      <c r="B471" s="10" t="n">
        <f aca="false">A471/$B$4</f>
        <v>31</v>
      </c>
      <c r="C471" s="11" t="n">
        <f aca="false">B471*'Karnataka Fuel Rates'!$B$9</f>
        <v>3451.1525</v>
      </c>
      <c r="D471" s="10" t="n">
        <f aca="false">A471/$D$4</f>
        <v>25.8333333333333</v>
      </c>
      <c r="E471" s="11" t="n">
        <f aca="false">D471*'Karnataka Fuel Rates'!$C$9</f>
        <v>2564.34583333333</v>
      </c>
    </row>
    <row r="472" customFormat="false" ht="15" hidden="false" customHeight="true" outlineLevel="0" collapsed="false">
      <c r="A472" s="1" t="n">
        <v>466</v>
      </c>
      <c r="B472" s="10" t="n">
        <f aca="false">A472/$B$4</f>
        <v>31.0666666666667</v>
      </c>
      <c r="C472" s="11" t="n">
        <f aca="false">B472*'Karnataka Fuel Rates'!$B$9</f>
        <v>3458.57433333333</v>
      </c>
      <c r="D472" s="10" t="n">
        <f aca="false">A472/$D$4</f>
        <v>25.8888888888889</v>
      </c>
      <c r="E472" s="11" t="n">
        <f aca="false">D472*'Karnataka Fuel Rates'!$C$9</f>
        <v>2569.86055555556</v>
      </c>
    </row>
    <row r="473" customFormat="false" ht="15" hidden="false" customHeight="true" outlineLevel="0" collapsed="false">
      <c r="A473" s="1" t="n">
        <v>467</v>
      </c>
      <c r="B473" s="10" t="n">
        <f aca="false">A473/$B$4</f>
        <v>31.1333333333333</v>
      </c>
      <c r="C473" s="11" t="n">
        <f aca="false">B473*'Karnataka Fuel Rates'!$B$9</f>
        <v>3465.99616666667</v>
      </c>
      <c r="D473" s="10" t="n">
        <f aca="false">A473/$D$4</f>
        <v>25.9444444444444</v>
      </c>
      <c r="E473" s="11" t="n">
        <f aca="false">D473*'Karnataka Fuel Rates'!$C$9</f>
        <v>2575.37527777778</v>
      </c>
    </row>
    <row r="474" customFormat="false" ht="15" hidden="false" customHeight="true" outlineLevel="0" collapsed="false">
      <c r="A474" s="1" t="n">
        <v>468</v>
      </c>
      <c r="B474" s="10" t="n">
        <f aca="false">A474/$B$4</f>
        <v>31.2</v>
      </c>
      <c r="C474" s="11" t="n">
        <f aca="false">B474*'Karnataka Fuel Rates'!$B$9</f>
        <v>3473.418</v>
      </c>
      <c r="D474" s="10" t="n">
        <f aca="false">A474/$D$4</f>
        <v>26</v>
      </c>
      <c r="E474" s="11" t="n">
        <f aca="false">D474*'Karnataka Fuel Rates'!$C$9</f>
        <v>2580.89</v>
      </c>
    </row>
    <row r="475" customFormat="false" ht="15" hidden="false" customHeight="true" outlineLevel="0" collapsed="false">
      <c r="A475" s="1" t="n">
        <v>469</v>
      </c>
      <c r="B475" s="10" t="n">
        <f aca="false">A475/$B$4</f>
        <v>31.2666666666667</v>
      </c>
      <c r="C475" s="11" t="n">
        <f aca="false">B475*'Karnataka Fuel Rates'!$B$9</f>
        <v>3480.83983333333</v>
      </c>
      <c r="D475" s="10" t="n">
        <f aca="false">A475/$D$4</f>
        <v>26.0555555555556</v>
      </c>
      <c r="E475" s="11" t="n">
        <f aca="false">D475*'Karnataka Fuel Rates'!$C$9</f>
        <v>2586.40472222222</v>
      </c>
    </row>
    <row r="476" customFormat="false" ht="15" hidden="false" customHeight="true" outlineLevel="0" collapsed="false">
      <c r="A476" s="1" t="n">
        <v>470</v>
      </c>
      <c r="B476" s="10" t="n">
        <f aca="false">A476/$B$4</f>
        <v>31.3333333333333</v>
      </c>
      <c r="C476" s="11" t="n">
        <f aca="false">B476*'Karnataka Fuel Rates'!$B$9</f>
        <v>3488.26166666667</v>
      </c>
      <c r="D476" s="10" t="n">
        <f aca="false">A476/$D$4</f>
        <v>26.1111111111111</v>
      </c>
      <c r="E476" s="11" t="n">
        <f aca="false">D476*'Karnataka Fuel Rates'!$C$9</f>
        <v>2591.91944444444</v>
      </c>
    </row>
    <row r="477" customFormat="false" ht="15" hidden="false" customHeight="true" outlineLevel="0" collapsed="false">
      <c r="A477" s="1" t="n">
        <v>471</v>
      </c>
      <c r="B477" s="10" t="n">
        <f aca="false">A477/$B$4</f>
        <v>31.4</v>
      </c>
      <c r="C477" s="11" t="n">
        <f aca="false">B477*'Karnataka Fuel Rates'!$B$9</f>
        <v>3495.6835</v>
      </c>
      <c r="D477" s="10" t="n">
        <f aca="false">A477/$D$4</f>
        <v>26.1666666666667</v>
      </c>
      <c r="E477" s="11" t="n">
        <f aca="false">D477*'Karnataka Fuel Rates'!$C$9</f>
        <v>2597.43416666667</v>
      </c>
    </row>
    <row r="478" customFormat="false" ht="15" hidden="false" customHeight="true" outlineLevel="0" collapsed="false">
      <c r="A478" s="1" t="n">
        <v>472</v>
      </c>
      <c r="B478" s="10" t="n">
        <f aca="false">A478/$B$4</f>
        <v>31.4666666666667</v>
      </c>
      <c r="C478" s="11" t="n">
        <f aca="false">B478*'Karnataka Fuel Rates'!$B$9</f>
        <v>3503.10533333333</v>
      </c>
      <c r="D478" s="10" t="n">
        <f aca="false">A478/$D$4</f>
        <v>26.2222222222222</v>
      </c>
      <c r="E478" s="11" t="n">
        <f aca="false">D478*'Karnataka Fuel Rates'!$C$9</f>
        <v>2602.94888888889</v>
      </c>
    </row>
    <row r="479" customFormat="false" ht="15" hidden="false" customHeight="true" outlineLevel="0" collapsed="false">
      <c r="A479" s="1" t="n">
        <v>473</v>
      </c>
      <c r="B479" s="10" t="n">
        <f aca="false">A479/$B$4</f>
        <v>31.5333333333333</v>
      </c>
      <c r="C479" s="11" t="n">
        <f aca="false">B479*'Karnataka Fuel Rates'!$B$9</f>
        <v>3510.52716666667</v>
      </c>
      <c r="D479" s="10" t="n">
        <f aca="false">A479/$D$4</f>
        <v>26.2777777777778</v>
      </c>
      <c r="E479" s="11" t="n">
        <f aca="false">D479*'Karnataka Fuel Rates'!$C$9</f>
        <v>2608.46361111111</v>
      </c>
    </row>
    <row r="480" customFormat="false" ht="15" hidden="false" customHeight="true" outlineLevel="0" collapsed="false">
      <c r="A480" s="1" t="n">
        <v>474</v>
      </c>
      <c r="B480" s="10" t="n">
        <f aca="false">A480/$B$4</f>
        <v>31.6</v>
      </c>
      <c r="C480" s="11" t="n">
        <f aca="false">B480*'Karnataka Fuel Rates'!$B$9</f>
        <v>3517.949</v>
      </c>
      <c r="D480" s="10" t="n">
        <f aca="false">A480/$D$4</f>
        <v>26.3333333333333</v>
      </c>
      <c r="E480" s="11" t="n">
        <f aca="false">D480*'Karnataka Fuel Rates'!$C$9</f>
        <v>2613.97833333333</v>
      </c>
    </row>
    <row r="481" customFormat="false" ht="15" hidden="false" customHeight="true" outlineLevel="0" collapsed="false">
      <c r="A481" s="1" t="n">
        <v>475</v>
      </c>
      <c r="B481" s="10" t="n">
        <f aca="false">A481/$B$4</f>
        <v>31.6666666666667</v>
      </c>
      <c r="C481" s="11" t="n">
        <f aca="false">B481*'Karnataka Fuel Rates'!$B$9</f>
        <v>3525.37083333333</v>
      </c>
      <c r="D481" s="10" t="n">
        <f aca="false">A481/$D$4</f>
        <v>26.3888888888889</v>
      </c>
      <c r="E481" s="11" t="n">
        <f aca="false">D481*'Karnataka Fuel Rates'!$C$9</f>
        <v>2619.49305555556</v>
      </c>
    </row>
    <row r="482" customFormat="false" ht="15" hidden="false" customHeight="true" outlineLevel="0" collapsed="false">
      <c r="A482" s="1" t="n">
        <v>476</v>
      </c>
      <c r="B482" s="10" t="n">
        <f aca="false">A482/$B$4</f>
        <v>31.7333333333333</v>
      </c>
      <c r="C482" s="11" t="n">
        <f aca="false">B482*'Karnataka Fuel Rates'!$B$9</f>
        <v>3532.79266666667</v>
      </c>
      <c r="D482" s="10" t="n">
        <f aca="false">A482/$D$4</f>
        <v>26.4444444444444</v>
      </c>
      <c r="E482" s="11" t="n">
        <f aca="false">D482*'Karnataka Fuel Rates'!$C$9</f>
        <v>2625.00777777778</v>
      </c>
    </row>
    <row r="483" customFormat="false" ht="15" hidden="false" customHeight="true" outlineLevel="0" collapsed="false">
      <c r="A483" s="1" t="n">
        <v>477</v>
      </c>
      <c r="B483" s="10" t="n">
        <f aca="false">A483/$B$4</f>
        <v>31.8</v>
      </c>
      <c r="C483" s="11" t="n">
        <f aca="false">B483*'Karnataka Fuel Rates'!$B$9</f>
        <v>3540.2145</v>
      </c>
      <c r="D483" s="10" t="n">
        <f aca="false">A483/$D$4</f>
        <v>26.5</v>
      </c>
      <c r="E483" s="11" t="n">
        <f aca="false">D483*'Karnataka Fuel Rates'!$C$9</f>
        <v>2630.5225</v>
      </c>
    </row>
    <row r="484" customFormat="false" ht="15" hidden="false" customHeight="true" outlineLevel="0" collapsed="false">
      <c r="A484" s="1" t="n">
        <v>478</v>
      </c>
      <c r="B484" s="10" t="n">
        <f aca="false">A484/$B$4</f>
        <v>31.8666666666667</v>
      </c>
      <c r="C484" s="11" t="n">
        <f aca="false">B484*'Karnataka Fuel Rates'!$B$9</f>
        <v>3547.63633333333</v>
      </c>
      <c r="D484" s="10" t="n">
        <f aca="false">A484/$D$4</f>
        <v>26.5555555555556</v>
      </c>
      <c r="E484" s="11" t="n">
        <f aca="false">D484*'Karnataka Fuel Rates'!$C$9</f>
        <v>2636.03722222222</v>
      </c>
    </row>
    <row r="485" customFormat="false" ht="15" hidden="false" customHeight="true" outlineLevel="0" collapsed="false">
      <c r="A485" s="1" t="n">
        <v>479</v>
      </c>
      <c r="B485" s="10" t="n">
        <f aca="false">A485/$B$4</f>
        <v>31.9333333333333</v>
      </c>
      <c r="C485" s="11" t="n">
        <f aca="false">B485*'Karnataka Fuel Rates'!$B$9</f>
        <v>3555.05816666667</v>
      </c>
      <c r="D485" s="10" t="n">
        <f aca="false">A485/$D$4</f>
        <v>26.6111111111111</v>
      </c>
      <c r="E485" s="11" t="n">
        <f aca="false">D485*'Karnataka Fuel Rates'!$C$9</f>
        <v>2641.55194444444</v>
      </c>
    </row>
    <row r="486" customFormat="false" ht="15" hidden="false" customHeight="true" outlineLevel="0" collapsed="false">
      <c r="A486" s="1" t="n">
        <v>480</v>
      </c>
      <c r="B486" s="10" t="n">
        <f aca="false">A486/$B$4</f>
        <v>32</v>
      </c>
      <c r="C486" s="11" t="n">
        <f aca="false">B486*'Karnataka Fuel Rates'!$B$9</f>
        <v>3562.48</v>
      </c>
      <c r="D486" s="10" t="n">
        <f aca="false">A486/$D$4</f>
        <v>26.6666666666667</v>
      </c>
      <c r="E486" s="11" t="n">
        <f aca="false">D486*'Karnataka Fuel Rates'!$C$9</f>
        <v>2647.06666666667</v>
      </c>
    </row>
    <row r="487" customFormat="false" ht="15" hidden="false" customHeight="true" outlineLevel="0" collapsed="false">
      <c r="A487" s="1" t="n">
        <v>481</v>
      </c>
      <c r="B487" s="10" t="n">
        <f aca="false">A487/$B$4</f>
        <v>32.0666666666667</v>
      </c>
      <c r="C487" s="11" t="n">
        <f aca="false">B487*'Karnataka Fuel Rates'!$B$9</f>
        <v>3569.90183333333</v>
      </c>
      <c r="D487" s="10" t="n">
        <f aca="false">A487/$D$4</f>
        <v>26.7222222222222</v>
      </c>
      <c r="E487" s="11" t="n">
        <f aca="false">D487*'Karnataka Fuel Rates'!$C$9</f>
        <v>2652.58138888889</v>
      </c>
    </row>
    <row r="488" customFormat="false" ht="15" hidden="false" customHeight="true" outlineLevel="0" collapsed="false">
      <c r="A488" s="1" t="n">
        <v>482</v>
      </c>
      <c r="B488" s="10" t="n">
        <f aca="false">A488/$B$4</f>
        <v>32.1333333333333</v>
      </c>
      <c r="C488" s="11" t="n">
        <f aca="false">B488*'Karnataka Fuel Rates'!$B$9</f>
        <v>3577.32366666667</v>
      </c>
      <c r="D488" s="10" t="n">
        <f aca="false">A488/$D$4</f>
        <v>26.7777777777778</v>
      </c>
      <c r="E488" s="11" t="n">
        <f aca="false">D488*'Karnataka Fuel Rates'!$C$9</f>
        <v>2658.09611111111</v>
      </c>
    </row>
    <row r="489" customFormat="false" ht="15" hidden="false" customHeight="true" outlineLevel="0" collapsed="false">
      <c r="A489" s="1" t="n">
        <v>483</v>
      </c>
      <c r="B489" s="10" t="n">
        <f aca="false">A489/$B$4</f>
        <v>32.2</v>
      </c>
      <c r="C489" s="11" t="n">
        <f aca="false">B489*'Karnataka Fuel Rates'!$B$9</f>
        <v>3584.7455</v>
      </c>
      <c r="D489" s="10" t="n">
        <f aca="false">A489/$D$4</f>
        <v>26.8333333333333</v>
      </c>
      <c r="E489" s="11" t="n">
        <f aca="false">D489*'Karnataka Fuel Rates'!$C$9</f>
        <v>2663.61083333333</v>
      </c>
    </row>
    <row r="490" customFormat="false" ht="15" hidden="false" customHeight="true" outlineLevel="0" collapsed="false">
      <c r="A490" s="1" t="n">
        <v>484</v>
      </c>
      <c r="B490" s="10" t="n">
        <f aca="false">A490/$B$4</f>
        <v>32.2666666666667</v>
      </c>
      <c r="C490" s="11" t="n">
        <f aca="false">B490*'Karnataka Fuel Rates'!$B$9</f>
        <v>3592.16733333333</v>
      </c>
      <c r="D490" s="10" t="n">
        <f aca="false">A490/$D$4</f>
        <v>26.8888888888889</v>
      </c>
      <c r="E490" s="11" t="n">
        <f aca="false">D490*'Karnataka Fuel Rates'!$C$9</f>
        <v>2669.12555555556</v>
      </c>
    </row>
    <row r="491" customFormat="false" ht="15" hidden="false" customHeight="true" outlineLevel="0" collapsed="false">
      <c r="A491" s="1" t="n">
        <v>485</v>
      </c>
      <c r="B491" s="10" t="n">
        <f aca="false">A491/$B$4</f>
        <v>32.3333333333333</v>
      </c>
      <c r="C491" s="11" t="n">
        <f aca="false">B491*'Karnataka Fuel Rates'!$B$9</f>
        <v>3599.58916666667</v>
      </c>
      <c r="D491" s="10" t="n">
        <f aca="false">A491/$D$4</f>
        <v>26.9444444444444</v>
      </c>
      <c r="E491" s="11" t="n">
        <f aca="false">D491*'Karnataka Fuel Rates'!$C$9</f>
        <v>2674.64027777778</v>
      </c>
    </row>
    <row r="492" customFormat="false" ht="15" hidden="false" customHeight="true" outlineLevel="0" collapsed="false">
      <c r="A492" s="1" t="n">
        <v>486</v>
      </c>
      <c r="B492" s="10" t="n">
        <f aca="false">A492/$B$4</f>
        <v>32.4</v>
      </c>
      <c r="C492" s="11" t="n">
        <f aca="false">B492*'Karnataka Fuel Rates'!$B$9</f>
        <v>3607.011</v>
      </c>
      <c r="D492" s="10" t="n">
        <f aca="false">A492/$D$4</f>
        <v>27</v>
      </c>
      <c r="E492" s="11" t="n">
        <f aca="false">D492*'Karnataka Fuel Rates'!$C$9</f>
        <v>2680.155</v>
      </c>
    </row>
    <row r="493" customFormat="false" ht="15" hidden="false" customHeight="true" outlineLevel="0" collapsed="false">
      <c r="A493" s="1" t="n">
        <v>487</v>
      </c>
      <c r="B493" s="10" t="n">
        <f aca="false">A493/$B$4</f>
        <v>32.4666666666667</v>
      </c>
      <c r="C493" s="11" t="n">
        <f aca="false">B493*'Karnataka Fuel Rates'!$B$9</f>
        <v>3614.43283333333</v>
      </c>
      <c r="D493" s="10" t="n">
        <f aca="false">A493/$D$4</f>
        <v>27.0555555555556</v>
      </c>
      <c r="E493" s="11" t="n">
        <f aca="false">D493*'Karnataka Fuel Rates'!$C$9</f>
        <v>2685.66972222222</v>
      </c>
    </row>
    <row r="494" customFormat="false" ht="15" hidden="false" customHeight="true" outlineLevel="0" collapsed="false">
      <c r="A494" s="1" t="n">
        <v>488</v>
      </c>
      <c r="B494" s="10" t="n">
        <f aca="false">A494/$B$4</f>
        <v>32.5333333333333</v>
      </c>
      <c r="C494" s="11" t="n">
        <f aca="false">B494*'Karnataka Fuel Rates'!$B$9</f>
        <v>3621.85466666667</v>
      </c>
      <c r="D494" s="10" t="n">
        <f aca="false">A494/$D$4</f>
        <v>27.1111111111111</v>
      </c>
      <c r="E494" s="11" t="n">
        <f aca="false">D494*'Karnataka Fuel Rates'!$C$9</f>
        <v>2691.18444444444</v>
      </c>
    </row>
    <row r="495" customFormat="false" ht="15" hidden="false" customHeight="true" outlineLevel="0" collapsed="false">
      <c r="A495" s="1" t="n">
        <v>489</v>
      </c>
      <c r="B495" s="10" t="n">
        <f aca="false">A495/$B$4</f>
        <v>32.6</v>
      </c>
      <c r="C495" s="11" t="n">
        <f aca="false">B495*'Karnataka Fuel Rates'!$B$9</f>
        <v>3629.2765</v>
      </c>
      <c r="D495" s="10" t="n">
        <f aca="false">A495/$D$4</f>
        <v>27.1666666666667</v>
      </c>
      <c r="E495" s="11" t="n">
        <f aca="false">D495*'Karnataka Fuel Rates'!$C$9</f>
        <v>2696.69916666667</v>
      </c>
    </row>
    <row r="496" customFormat="false" ht="15" hidden="false" customHeight="true" outlineLevel="0" collapsed="false">
      <c r="A496" s="1" t="n">
        <v>490</v>
      </c>
      <c r="B496" s="10" t="n">
        <f aca="false">A496/$B$4</f>
        <v>32.6666666666667</v>
      </c>
      <c r="C496" s="11" t="n">
        <f aca="false">B496*'Karnataka Fuel Rates'!$B$9</f>
        <v>3636.69833333333</v>
      </c>
      <c r="D496" s="10" t="n">
        <f aca="false">A496/$D$4</f>
        <v>27.2222222222222</v>
      </c>
      <c r="E496" s="11" t="n">
        <f aca="false">D496*'Karnataka Fuel Rates'!$C$9</f>
        <v>2702.21388888889</v>
      </c>
    </row>
    <row r="497" customFormat="false" ht="15" hidden="false" customHeight="true" outlineLevel="0" collapsed="false">
      <c r="A497" s="1" t="n">
        <v>491</v>
      </c>
      <c r="B497" s="10" t="n">
        <f aca="false">A497/$B$4</f>
        <v>32.7333333333333</v>
      </c>
      <c r="C497" s="11" t="n">
        <f aca="false">B497*'Karnataka Fuel Rates'!$B$9</f>
        <v>3644.12016666667</v>
      </c>
      <c r="D497" s="10" t="n">
        <f aca="false">A497/$D$4</f>
        <v>27.2777777777778</v>
      </c>
      <c r="E497" s="11" t="n">
        <f aca="false">D497*'Karnataka Fuel Rates'!$C$9</f>
        <v>2707.72861111111</v>
      </c>
    </row>
    <row r="498" customFormat="false" ht="15" hidden="false" customHeight="true" outlineLevel="0" collapsed="false">
      <c r="A498" s="1" t="n">
        <v>492</v>
      </c>
      <c r="B498" s="10" t="n">
        <f aca="false">A498/$B$4</f>
        <v>32.8</v>
      </c>
      <c r="C498" s="11" t="n">
        <f aca="false">B498*'Karnataka Fuel Rates'!$B$9</f>
        <v>3651.542</v>
      </c>
      <c r="D498" s="10" t="n">
        <f aca="false">A498/$D$4</f>
        <v>27.3333333333333</v>
      </c>
      <c r="E498" s="11" t="n">
        <f aca="false">D498*'Karnataka Fuel Rates'!$C$9</f>
        <v>2713.24333333333</v>
      </c>
    </row>
    <row r="499" customFormat="false" ht="15" hidden="false" customHeight="true" outlineLevel="0" collapsed="false">
      <c r="A499" s="1" t="n">
        <v>493</v>
      </c>
      <c r="B499" s="10" t="n">
        <f aca="false">A499/$B$4</f>
        <v>32.8666666666667</v>
      </c>
      <c r="C499" s="11" t="n">
        <f aca="false">B499*'Karnataka Fuel Rates'!$B$9</f>
        <v>3658.96383333333</v>
      </c>
      <c r="D499" s="10" t="n">
        <f aca="false">A499/$D$4</f>
        <v>27.3888888888889</v>
      </c>
      <c r="E499" s="11" t="n">
        <f aca="false">D499*'Karnataka Fuel Rates'!$C$9</f>
        <v>2718.75805555556</v>
      </c>
    </row>
    <row r="500" customFormat="false" ht="15" hidden="false" customHeight="true" outlineLevel="0" collapsed="false">
      <c r="A500" s="1" t="n">
        <v>494</v>
      </c>
      <c r="B500" s="10" t="n">
        <f aca="false">A500/$B$4</f>
        <v>32.9333333333333</v>
      </c>
      <c r="C500" s="11" t="n">
        <f aca="false">B500*'Karnataka Fuel Rates'!$B$9</f>
        <v>3666.38566666667</v>
      </c>
      <c r="D500" s="10" t="n">
        <f aca="false">A500/$D$4</f>
        <v>27.4444444444444</v>
      </c>
      <c r="E500" s="11" t="n">
        <f aca="false">D500*'Karnataka Fuel Rates'!$C$9</f>
        <v>2724.27277777778</v>
      </c>
    </row>
    <row r="501" customFormat="false" ht="15" hidden="false" customHeight="true" outlineLevel="0" collapsed="false">
      <c r="A501" s="1" t="n">
        <v>495</v>
      </c>
      <c r="B501" s="10" t="n">
        <f aca="false">A501/$B$4</f>
        <v>33</v>
      </c>
      <c r="C501" s="11" t="n">
        <f aca="false">B501*'Karnataka Fuel Rates'!$B$9</f>
        <v>3673.8075</v>
      </c>
      <c r="D501" s="10" t="n">
        <f aca="false">A501/$D$4</f>
        <v>27.5</v>
      </c>
      <c r="E501" s="11" t="n">
        <f aca="false">D501*'Karnataka Fuel Rates'!$C$9</f>
        <v>2729.7875</v>
      </c>
    </row>
    <row r="502" customFormat="false" ht="15" hidden="false" customHeight="true" outlineLevel="0" collapsed="false">
      <c r="A502" s="1" t="n">
        <v>496</v>
      </c>
      <c r="B502" s="10" t="n">
        <f aca="false">A502/$B$4</f>
        <v>33.0666666666667</v>
      </c>
      <c r="C502" s="11" t="n">
        <f aca="false">B502*'Karnataka Fuel Rates'!$B$9</f>
        <v>3681.22933333333</v>
      </c>
      <c r="D502" s="10" t="n">
        <f aca="false">A502/$D$4</f>
        <v>27.5555555555556</v>
      </c>
      <c r="E502" s="11" t="n">
        <f aca="false">D502*'Karnataka Fuel Rates'!$C$9</f>
        <v>2735.30222222222</v>
      </c>
    </row>
    <row r="503" customFormat="false" ht="15" hidden="false" customHeight="true" outlineLevel="0" collapsed="false">
      <c r="A503" s="1" t="n">
        <v>497</v>
      </c>
      <c r="B503" s="10" t="n">
        <f aca="false">A503/$B$4</f>
        <v>33.1333333333333</v>
      </c>
      <c r="C503" s="11" t="n">
        <f aca="false">B503*'Karnataka Fuel Rates'!$B$9</f>
        <v>3688.65116666667</v>
      </c>
      <c r="D503" s="10" t="n">
        <f aca="false">A503/$D$4</f>
        <v>27.6111111111111</v>
      </c>
      <c r="E503" s="11" t="n">
        <f aca="false">D503*'Karnataka Fuel Rates'!$C$9</f>
        <v>2740.81694444444</v>
      </c>
    </row>
    <row r="504" customFormat="false" ht="15" hidden="false" customHeight="true" outlineLevel="0" collapsed="false">
      <c r="A504" s="1" t="n">
        <v>498</v>
      </c>
      <c r="B504" s="10" t="n">
        <f aca="false">A504/$B$4</f>
        <v>33.2</v>
      </c>
      <c r="C504" s="11" t="n">
        <f aca="false">B504*'Karnataka Fuel Rates'!$B$9</f>
        <v>3696.073</v>
      </c>
      <c r="D504" s="10" t="n">
        <f aca="false">A504/$D$4</f>
        <v>27.6666666666667</v>
      </c>
      <c r="E504" s="11" t="n">
        <f aca="false">D504*'Karnataka Fuel Rates'!$C$9</f>
        <v>2746.33166666667</v>
      </c>
    </row>
    <row r="505" customFormat="false" ht="15" hidden="false" customHeight="true" outlineLevel="0" collapsed="false">
      <c r="A505" s="1" t="n">
        <v>499</v>
      </c>
      <c r="B505" s="10" t="n">
        <f aca="false">A505/$B$4</f>
        <v>33.2666666666667</v>
      </c>
      <c r="C505" s="11" t="n">
        <f aca="false">B505*'Karnataka Fuel Rates'!$B$9</f>
        <v>3703.49483333333</v>
      </c>
      <c r="D505" s="10" t="n">
        <f aca="false">A505/$D$4</f>
        <v>27.7222222222222</v>
      </c>
      <c r="E505" s="11" t="n">
        <f aca="false">D505*'Karnataka Fuel Rates'!$C$9</f>
        <v>2751.84638888889</v>
      </c>
    </row>
    <row r="506" customFormat="false" ht="15" hidden="false" customHeight="true" outlineLevel="0" collapsed="false">
      <c r="A506" s="1" t="n">
        <v>500</v>
      </c>
      <c r="B506" s="10" t="n">
        <f aca="false">A506/$B$4</f>
        <v>33.3333333333333</v>
      </c>
      <c r="C506" s="11" t="n">
        <f aca="false">B506*'Karnataka Fuel Rates'!$B$9</f>
        <v>3710.91666666667</v>
      </c>
      <c r="D506" s="10" t="n">
        <f aca="false">A506/$D$4</f>
        <v>27.7777777777778</v>
      </c>
      <c r="E506" s="11" t="n">
        <f aca="false">D506*'Karnataka Fuel Rates'!$C$9</f>
        <v>2757.36111111111</v>
      </c>
    </row>
    <row r="507" customFormat="false" ht="15" hidden="false" customHeight="true" outlineLevel="0" collapsed="false">
      <c r="A507" s="1" t="n">
        <v>501</v>
      </c>
      <c r="B507" s="10" t="n">
        <f aca="false">A507/$B$4</f>
        <v>33.4</v>
      </c>
      <c r="C507" s="11" t="n">
        <f aca="false">B507*'Karnataka Fuel Rates'!$B$9</f>
        <v>3718.3385</v>
      </c>
      <c r="D507" s="10" t="n">
        <f aca="false">A507/$D$4</f>
        <v>27.8333333333333</v>
      </c>
      <c r="E507" s="11" t="n">
        <f aca="false">D507*'Karnataka Fuel Rates'!$C$9</f>
        <v>2762.87583333333</v>
      </c>
    </row>
    <row r="508" customFormat="false" ht="15" hidden="false" customHeight="true" outlineLevel="0" collapsed="false">
      <c r="A508" s="1" t="n">
        <v>502</v>
      </c>
      <c r="B508" s="10" t="n">
        <f aca="false">A508/$B$4</f>
        <v>33.4666666666667</v>
      </c>
      <c r="C508" s="11" t="n">
        <f aca="false">B508*'Karnataka Fuel Rates'!$B$9</f>
        <v>3725.76033333333</v>
      </c>
      <c r="D508" s="10" t="n">
        <f aca="false">A508/$D$4</f>
        <v>27.8888888888889</v>
      </c>
      <c r="E508" s="11" t="n">
        <f aca="false">D508*'Karnataka Fuel Rates'!$C$9</f>
        <v>2768.39055555556</v>
      </c>
    </row>
    <row r="509" customFormat="false" ht="15" hidden="false" customHeight="true" outlineLevel="0" collapsed="false">
      <c r="A509" s="1" t="n">
        <v>503</v>
      </c>
      <c r="B509" s="10" t="n">
        <f aca="false">A509/$B$4</f>
        <v>33.5333333333333</v>
      </c>
      <c r="C509" s="11" t="n">
        <f aca="false">B509*'Karnataka Fuel Rates'!$B$9</f>
        <v>3733.18216666667</v>
      </c>
      <c r="D509" s="10" t="n">
        <f aca="false">A509/$D$4</f>
        <v>27.9444444444444</v>
      </c>
      <c r="E509" s="11" t="n">
        <f aca="false">D509*'Karnataka Fuel Rates'!$C$9</f>
        <v>2773.90527777778</v>
      </c>
    </row>
    <row r="510" customFormat="false" ht="15" hidden="false" customHeight="true" outlineLevel="0" collapsed="false">
      <c r="A510" s="1" t="n">
        <v>504</v>
      </c>
      <c r="B510" s="10" t="n">
        <f aca="false">A510/$B$4</f>
        <v>33.6</v>
      </c>
      <c r="C510" s="11" t="n">
        <f aca="false">B510*'Karnataka Fuel Rates'!$B$9</f>
        <v>3740.604</v>
      </c>
      <c r="D510" s="10" t="n">
        <f aca="false">A510/$D$4</f>
        <v>28</v>
      </c>
      <c r="E510" s="11" t="n">
        <f aca="false">D510*'Karnataka Fuel Rates'!$C$9</f>
        <v>2779.42</v>
      </c>
    </row>
    <row r="511" customFormat="false" ht="15" hidden="false" customHeight="true" outlineLevel="0" collapsed="false">
      <c r="A511" s="1" t="n">
        <v>505</v>
      </c>
      <c r="B511" s="10" t="n">
        <f aca="false">A511/$B$4</f>
        <v>33.6666666666667</v>
      </c>
      <c r="C511" s="11" t="n">
        <f aca="false">B511*'Karnataka Fuel Rates'!$B$9</f>
        <v>3748.02583333333</v>
      </c>
      <c r="D511" s="10" t="n">
        <f aca="false">A511/$D$4</f>
        <v>28.0555555555556</v>
      </c>
      <c r="E511" s="11" t="n">
        <f aca="false">D511*'Karnataka Fuel Rates'!$C$9</f>
        <v>2784.93472222222</v>
      </c>
    </row>
    <row r="512" customFormat="false" ht="15" hidden="false" customHeight="true" outlineLevel="0" collapsed="false">
      <c r="A512" s="1" t="n">
        <v>506</v>
      </c>
      <c r="B512" s="10" t="n">
        <f aca="false">A512/$B$4</f>
        <v>33.7333333333333</v>
      </c>
      <c r="C512" s="11" t="n">
        <f aca="false">B512*'Karnataka Fuel Rates'!$B$9</f>
        <v>3755.44766666667</v>
      </c>
      <c r="D512" s="10" t="n">
        <f aca="false">A512/$D$4</f>
        <v>28.1111111111111</v>
      </c>
      <c r="E512" s="11" t="n">
        <f aca="false">D512*'Karnataka Fuel Rates'!$C$9</f>
        <v>2790.44944444444</v>
      </c>
    </row>
    <row r="513" customFormat="false" ht="15" hidden="false" customHeight="true" outlineLevel="0" collapsed="false">
      <c r="A513" s="1" t="n">
        <v>507</v>
      </c>
      <c r="B513" s="10" t="n">
        <f aca="false">A513/$B$4</f>
        <v>33.8</v>
      </c>
      <c r="C513" s="11" t="n">
        <f aca="false">B513*'Karnataka Fuel Rates'!$B$9</f>
        <v>3762.8695</v>
      </c>
      <c r="D513" s="10" t="n">
        <f aca="false">A513/$D$4</f>
        <v>28.1666666666667</v>
      </c>
      <c r="E513" s="11" t="n">
        <f aca="false">D513*'Karnataka Fuel Rates'!$C$9</f>
        <v>2795.96416666667</v>
      </c>
    </row>
    <row r="514" customFormat="false" ht="15" hidden="false" customHeight="true" outlineLevel="0" collapsed="false">
      <c r="A514" s="1" t="n">
        <v>508</v>
      </c>
      <c r="B514" s="10" t="n">
        <f aca="false">A514/$B$4</f>
        <v>33.8666666666667</v>
      </c>
      <c r="C514" s="11" t="n">
        <f aca="false">B514*'Karnataka Fuel Rates'!$B$9</f>
        <v>3770.29133333333</v>
      </c>
      <c r="D514" s="10" t="n">
        <f aca="false">A514/$D$4</f>
        <v>28.2222222222222</v>
      </c>
      <c r="E514" s="11" t="n">
        <f aca="false">D514*'Karnataka Fuel Rates'!$C$9</f>
        <v>2801.47888888889</v>
      </c>
    </row>
    <row r="515" customFormat="false" ht="15" hidden="false" customHeight="true" outlineLevel="0" collapsed="false">
      <c r="A515" s="1" t="n">
        <v>509</v>
      </c>
      <c r="B515" s="10" t="n">
        <f aca="false">A515/$B$4</f>
        <v>33.9333333333333</v>
      </c>
      <c r="C515" s="11" t="n">
        <f aca="false">B515*'Karnataka Fuel Rates'!$B$9</f>
        <v>3777.71316666667</v>
      </c>
      <c r="D515" s="10" t="n">
        <f aca="false">A515/$D$4</f>
        <v>28.2777777777778</v>
      </c>
      <c r="E515" s="11" t="n">
        <f aca="false">D515*'Karnataka Fuel Rates'!$C$9</f>
        <v>2806.99361111111</v>
      </c>
    </row>
    <row r="516" customFormat="false" ht="15" hidden="false" customHeight="true" outlineLevel="0" collapsed="false">
      <c r="A516" s="1" t="n">
        <v>510</v>
      </c>
      <c r="B516" s="10" t="n">
        <f aca="false">A516/$B$4</f>
        <v>34</v>
      </c>
      <c r="C516" s="11" t="n">
        <f aca="false">B516*'Karnataka Fuel Rates'!$B$9</f>
        <v>3785.135</v>
      </c>
      <c r="D516" s="10" t="n">
        <f aca="false">A516/$D$4</f>
        <v>28.3333333333333</v>
      </c>
      <c r="E516" s="11" t="n">
        <f aca="false">D516*'Karnataka Fuel Rates'!$C$9</f>
        <v>2812.50833333333</v>
      </c>
    </row>
    <row r="517" customFormat="false" ht="15" hidden="false" customHeight="true" outlineLevel="0" collapsed="false">
      <c r="A517" s="1" t="n">
        <v>511</v>
      </c>
      <c r="B517" s="10" t="n">
        <f aca="false">A517/$B$4</f>
        <v>34.0666666666667</v>
      </c>
      <c r="C517" s="11" t="n">
        <f aca="false">B517*'Karnataka Fuel Rates'!$B$9</f>
        <v>3792.55683333333</v>
      </c>
      <c r="D517" s="10" t="n">
        <f aca="false">A517/$D$4</f>
        <v>28.3888888888889</v>
      </c>
      <c r="E517" s="11" t="n">
        <f aca="false">D517*'Karnataka Fuel Rates'!$C$9</f>
        <v>2818.02305555556</v>
      </c>
    </row>
    <row r="518" customFormat="false" ht="15" hidden="false" customHeight="true" outlineLevel="0" collapsed="false">
      <c r="A518" s="1" t="n">
        <v>512</v>
      </c>
      <c r="B518" s="10" t="n">
        <f aca="false">A518/$B$4</f>
        <v>34.1333333333333</v>
      </c>
      <c r="C518" s="11" t="n">
        <f aca="false">B518*'Karnataka Fuel Rates'!$B$9</f>
        <v>3799.97866666667</v>
      </c>
      <c r="D518" s="10" t="n">
        <f aca="false">A518/$D$4</f>
        <v>28.4444444444444</v>
      </c>
      <c r="E518" s="11" t="n">
        <f aca="false">D518*'Karnataka Fuel Rates'!$C$9</f>
        <v>2823.53777777778</v>
      </c>
    </row>
    <row r="519" customFormat="false" ht="15" hidden="false" customHeight="true" outlineLevel="0" collapsed="false">
      <c r="A519" s="1" t="n">
        <v>513</v>
      </c>
      <c r="B519" s="10" t="n">
        <f aca="false">A519/$B$4</f>
        <v>34.2</v>
      </c>
      <c r="C519" s="11" t="n">
        <f aca="false">B519*'Karnataka Fuel Rates'!$B$9</f>
        <v>3807.4005</v>
      </c>
      <c r="D519" s="10" t="n">
        <f aca="false">A519/$D$4</f>
        <v>28.5</v>
      </c>
      <c r="E519" s="11" t="n">
        <f aca="false">D519*'Karnataka Fuel Rates'!$C$9</f>
        <v>2829.0525</v>
      </c>
    </row>
    <row r="520" customFormat="false" ht="15" hidden="false" customHeight="true" outlineLevel="0" collapsed="false">
      <c r="A520" s="1" t="n">
        <v>514</v>
      </c>
      <c r="B520" s="10" t="n">
        <f aca="false">A520/$B$4</f>
        <v>34.2666666666667</v>
      </c>
      <c r="C520" s="11" t="n">
        <f aca="false">B520*'Karnataka Fuel Rates'!$B$9</f>
        <v>3814.82233333333</v>
      </c>
      <c r="D520" s="10" t="n">
        <f aca="false">A520/$D$4</f>
        <v>28.5555555555556</v>
      </c>
      <c r="E520" s="11" t="n">
        <f aca="false">D520*'Karnataka Fuel Rates'!$C$9</f>
        <v>2834.56722222222</v>
      </c>
    </row>
    <row r="521" customFormat="false" ht="15" hidden="false" customHeight="true" outlineLevel="0" collapsed="false">
      <c r="A521" s="1" t="n">
        <v>515</v>
      </c>
      <c r="B521" s="10" t="n">
        <f aca="false">A521/$B$4</f>
        <v>34.3333333333333</v>
      </c>
      <c r="C521" s="11" t="n">
        <f aca="false">B521*'Karnataka Fuel Rates'!$B$9</f>
        <v>3822.24416666667</v>
      </c>
      <c r="D521" s="10" t="n">
        <f aca="false">A521/$D$4</f>
        <v>28.6111111111111</v>
      </c>
      <c r="E521" s="11" t="n">
        <f aca="false">D521*'Karnataka Fuel Rates'!$C$9</f>
        <v>2840.08194444444</v>
      </c>
    </row>
    <row r="522" customFormat="false" ht="15" hidden="false" customHeight="true" outlineLevel="0" collapsed="false">
      <c r="A522" s="1" t="n">
        <v>516</v>
      </c>
      <c r="B522" s="10" t="n">
        <f aca="false">A522/$B$4</f>
        <v>34.4</v>
      </c>
      <c r="C522" s="11" t="n">
        <f aca="false">B522*'Karnataka Fuel Rates'!$B$9</f>
        <v>3829.666</v>
      </c>
      <c r="D522" s="10" t="n">
        <f aca="false">A522/$D$4</f>
        <v>28.6666666666667</v>
      </c>
      <c r="E522" s="11" t="n">
        <f aca="false">D522*'Karnataka Fuel Rates'!$C$9</f>
        <v>2845.59666666667</v>
      </c>
    </row>
    <row r="523" customFormat="false" ht="15" hidden="false" customHeight="true" outlineLevel="0" collapsed="false">
      <c r="A523" s="1" t="n">
        <v>517</v>
      </c>
      <c r="B523" s="10" t="n">
        <f aca="false">A523/$B$4</f>
        <v>34.4666666666667</v>
      </c>
      <c r="C523" s="11" t="n">
        <f aca="false">B523*'Karnataka Fuel Rates'!$B$9</f>
        <v>3837.08783333333</v>
      </c>
      <c r="D523" s="10" t="n">
        <f aca="false">A523/$D$4</f>
        <v>28.7222222222222</v>
      </c>
      <c r="E523" s="11" t="n">
        <f aca="false">D523*'Karnataka Fuel Rates'!$C$9</f>
        <v>2851.11138888889</v>
      </c>
    </row>
    <row r="524" customFormat="false" ht="15" hidden="false" customHeight="true" outlineLevel="0" collapsed="false">
      <c r="A524" s="1" t="n">
        <v>518</v>
      </c>
      <c r="B524" s="10" t="n">
        <f aca="false">A524/$B$4</f>
        <v>34.5333333333333</v>
      </c>
      <c r="C524" s="11" t="n">
        <f aca="false">B524*'Karnataka Fuel Rates'!$B$9</f>
        <v>3844.50966666667</v>
      </c>
      <c r="D524" s="10" t="n">
        <f aca="false">A524/$D$4</f>
        <v>28.7777777777778</v>
      </c>
      <c r="E524" s="11" t="n">
        <f aca="false">D524*'Karnataka Fuel Rates'!$C$9</f>
        <v>2856.62611111111</v>
      </c>
    </row>
    <row r="525" customFormat="false" ht="15" hidden="false" customHeight="true" outlineLevel="0" collapsed="false">
      <c r="A525" s="1" t="n">
        <v>519</v>
      </c>
      <c r="B525" s="10" t="n">
        <f aca="false">A525/$B$4</f>
        <v>34.6</v>
      </c>
      <c r="C525" s="11" t="n">
        <f aca="false">B525*'Karnataka Fuel Rates'!$B$9</f>
        <v>3851.9315</v>
      </c>
      <c r="D525" s="10" t="n">
        <f aca="false">A525/$D$4</f>
        <v>28.8333333333333</v>
      </c>
      <c r="E525" s="11" t="n">
        <f aca="false">D525*'Karnataka Fuel Rates'!$C$9</f>
        <v>2862.14083333333</v>
      </c>
    </row>
    <row r="526" customFormat="false" ht="15" hidden="false" customHeight="true" outlineLevel="0" collapsed="false">
      <c r="A526" s="1" t="n">
        <v>520</v>
      </c>
      <c r="B526" s="10" t="n">
        <f aca="false">A526/$B$4</f>
        <v>34.6666666666667</v>
      </c>
      <c r="C526" s="11" t="n">
        <f aca="false">B526*'Karnataka Fuel Rates'!$B$9</f>
        <v>3859.35333333333</v>
      </c>
      <c r="D526" s="10" t="n">
        <f aca="false">A526/$D$4</f>
        <v>28.8888888888889</v>
      </c>
      <c r="E526" s="11" t="n">
        <f aca="false">D526*'Karnataka Fuel Rates'!$C$9</f>
        <v>2867.65555555556</v>
      </c>
    </row>
    <row r="527" customFormat="false" ht="15" hidden="false" customHeight="true" outlineLevel="0" collapsed="false">
      <c r="A527" s="1" t="n">
        <v>521</v>
      </c>
      <c r="B527" s="10" t="n">
        <f aca="false">A527/$B$4</f>
        <v>34.7333333333333</v>
      </c>
      <c r="C527" s="11" t="n">
        <f aca="false">B527*'Karnataka Fuel Rates'!$B$9</f>
        <v>3866.77516666667</v>
      </c>
      <c r="D527" s="10" t="n">
        <f aca="false">A527/$D$4</f>
        <v>28.9444444444444</v>
      </c>
      <c r="E527" s="11" t="n">
        <f aca="false">D527*'Karnataka Fuel Rates'!$C$9</f>
        <v>2873.17027777778</v>
      </c>
    </row>
    <row r="528" customFormat="false" ht="15" hidden="false" customHeight="true" outlineLevel="0" collapsed="false">
      <c r="A528" s="1" t="n">
        <v>522</v>
      </c>
      <c r="B528" s="10" t="n">
        <f aca="false">A528/$B$4</f>
        <v>34.8</v>
      </c>
      <c r="C528" s="11" t="n">
        <f aca="false">B528*'Karnataka Fuel Rates'!$B$9</f>
        <v>3874.197</v>
      </c>
      <c r="D528" s="10" t="n">
        <f aca="false">A528/$D$4</f>
        <v>29</v>
      </c>
      <c r="E528" s="11" t="n">
        <f aca="false">D528*'Karnataka Fuel Rates'!$C$9</f>
        <v>2878.685</v>
      </c>
    </row>
    <row r="529" customFormat="false" ht="15" hidden="false" customHeight="true" outlineLevel="0" collapsed="false">
      <c r="A529" s="1" t="n">
        <v>523</v>
      </c>
      <c r="B529" s="10" t="n">
        <f aca="false">A529/$B$4</f>
        <v>34.8666666666667</v>
      </c>
      <c r="C529" s="11" t="n">
        <f aca="false">B529*'Karnataka Fuel Rates'!$B$9</f>
        <v>3881.61883333333</v>
      </c>
      <c r="D529" s="10" t="n">
        <f aca="false">A529/$D$4</f>
        <v>29.0555555555556</v>
      </c>
      <c r="E529" s="11" t="n">
        <f aca="false">D529*'Karnataka Fuel Rates'!$C$9</f>
        <v>2884.19972222222</v>
      </c>
    </row>
    <row r="530" customFormat="false" ht="15" hidden="false" customHeight="true" outlineLevel="0" collapsed="false">
      <c r="A530" s="1" t="n">
        <v>524</v>
      </c>
      <c r="B530" s="10" t="n">
        <f aca="false">A530/$B$4</f>
        <v>34.9333333333333</v>
      </c>
      <c r="C530" s="11" t="n">
        <f aca="false">B530*'Karnataka Fuel Rates'!$B$9</f>
        <v>3889.04066666667</v>
      </c>
      <c r="D530" s="10" t="n">
        <f aca="false">A530/$D$4</f>
        <v>29.1111111111111</v>
      </c>
      <c r="E530" s="11" t="n">
        <f aca="false">D530*'Karnataka Fuel Rates'!$C$9</f>
        <v>2889.71444444444</v>
      </c>
    </row>
    <row r="531" customFormat="false" ht="15" hidden="false" customHeight="true" outlineLevel="0" collapsed="false">
      <c r="A531" s="1" t="n">
        <v>525</v>
      </c>
      <c r="B531" s="10" t="n">
        <f aca="false">A531/$B$4</f>
        <v>35</v>
      </c>
      <c r="C531" s="11" t="n">
        <f aca="false">B531*'Karnataka Fuel Rates'!$B$9</f>
        <v>3896.4625</v>
      </c>
      <c r="D531" s="10" t="n">
        <f aca="false">A531/$D$4</f>
        <v>29.1666666666667</v>
      </c>
      <c r="E531" s="11" t="n">
        <f aca="false">D531*'Karnataka Fuel Rates'!$C$9</f>
        <v>2895.22916666667</v>
      </c>
    </row>
    <row r="532" customFormat="false" ht="15" hidden="false" customHeight="true" outlineLevel="0" collapsed="false">
      <c r="A532" s="1" t="n">
        <v>526</v>
      </c>
      <c r="B532" s="10" t="n">
        <f aca="false">A532/$B$4</f>
        <v>35.0666666666667</v>
      </c>
      <c r="C532" s="11" t="n">
        <f aca="false">B532*'Karnataka Fuel Rates'!$B$9</f>
        <v>3903.88433333333</v>
      </c>
      <c r="D532" s="10" t="n">
        <f aca="false">A532/$D$4</f>
        <v>29.2222222222222</v>
      </c>
      <c r="E532" s="11" t="n">
        <f aca="false">D532*'Karnataka Fuel Rates'!$C$9</f>
        <v>2900.74388888889</v>
      </c>
    </row>
    <row r="533" customFormat="false" ht="15" hidden="false" customHeight="true" outlineLevel="0" collapsed="false">
      <c r="A533" s="1" t="n">
        <v>527</v>
      </c>
      <c r="B533" s="10" t="n">
        <f aca="false">A533/$B$4</f>
        <v>35.1333333333333</v>
      </c>
      <c r="C533" s="11" t="n">
        <f aca="false">B533*'Karnataka Fuel Rates'!$B$9</f>
        <v>3911.30616666667</v>
      </c>
      <c r="D533" s="10" t="n">
        <f aca="false">A533/$D$4</f>
        <v>29.2777777777778</v>
      </c>
      <c r="E533" s="11" t="n">
        <f aca="false">D533*'Karnataka Fuel Rates'!$C$9</f>
        <v>2906.25861111111</v>
      </c>
    </row>
    <row r="534" customFormat="false" ht="15" hidden="false" customHeight="true" outlineLevel="0" collapsed="false">
      <c r="A534" s="1" t="n">
        <v>528</v>
      </c>
      <c r="B534" s="10" t="n">
        <f aca="false">A534/$B$4</f>
        <v>35.2</v>
      </c>
      <c r="C534" s="11" t="n">
        <f aca="false">B534*'Karnataka Fuel Rates'!$B$9</f>
        <v>3918.728</v>
      </c>
      <c r="D534" s="10" t="n">
        <f aca="false">A534/$D$4</f>
        <v>29.3333333333333</v>
      </c>
      <c r="E534" s="11" t="n">
        <f aca="false">D534*'Karnataka Fuel Rates'!$C$9</f>
        <v>2911.77333333333</v>
      </c>
    </row>
    <row r="535" customFormat="false" ht="15" hidden="false" customHeight="true" outlineLevel="0" collapsed="false">
      <c r="A535" s="1" t="n">
        <v>529</v>
      </c>
      <c r="B535" s="10" t="n">
        <f aca="false">A535/$B$4</f>
        <v>35.2666666666667</v>
      </c>
      <c r="C535" s="11" t="n">
        <f aca="false">B535*'Karnataka Fuel Rates'!$B$9</f>
        <v>3926.14983333333</v>
      </c>
      <c r="D535" s="10" t="n">
        <f aca="false">A535/$D$4</f>
        <v>29.3888888888889</v>
      </c>
      <c r="E535" s="11" t="n">
        <f aca="false">D535*'Karnataka Fuel Rates'!$C$9</f>
        <v>2917.28805555556</v>
      </c>
    </row>
    <row r="536" customFormat="false" ht="15" hidden="false" customHeight="true" outlineLevel="0" collapsed="false">
      <c r="A536" s="1" t="n">
        <v>530</v>
      </c>
      <c r="B536" s="10" t="n">
        <f aca="false">A536/$B$4</f>
        <v>35.3333333333333</v>
      </c>
      <c r="C536" s="11" t="n">
        <f aca="false">B536*'Karnataka Fuel Rates'!$B$9</f>
        <v>3933.57166666667</v>
      </c>
      <c r="D536" s="10" t="n">
        <f aca="false">A536/$D$4</f>
        <v>29.4444444444444</v>
      </c>
      <c r="E536" s="11" t="n">
        <f aca="false">D536*'Karnataka Fuel Rates'!$C$9</f>
        <v>2922.80277777778</v>
      </c>
    </row>
    <row r="537" customFormat="false" ht="15" hidden="false" customHeight="true" outlineLevel="0" collapsed="false">
      <c r="A537" s="1" t="n">
        <v>531</v>
      </c>
      <c r="B537" s="10" t="n">
        <f aca="false">A537/$B$4</f>
        <v>35.4</v>
      </c>
      <c r="C537" s="11" t="n">
        <f aca="false">B537*'Karnataka Fuel Rates'!$B$9</f>
        <v>3940.9935</v>
      </c>
      <c r="D537" s="10" t="n">
        <f aca="false">A537/$D$4</f>
        <v>29.5</v>
      </c>
      <c r="E537" s="11" t="n">
        <f aca="false">D537*'Karnataka Fuel Rates'!$C$9</f>
        <v>2928.3175</v>
      </c>
    </row>
    <row r="538" customFormat="false" ht="15" hidden="false" customHeight="true" outlineLevel="0" collapsed="false">
      <c r="A538" s="1" t="n">
        <v>532</v>
      </c>
      <c r="B538" s="10" t="n">
        <f aca="false">A538/$B$4</f>
        <v>35.4666666666667</v>
      </c>
      <c r="C538" s="11" t="n">
        <f aca="false">B538*'Karnataka Fuel Rates'!$B$9</f>
        <v>3948.41533333333</v>
      </c>
      <c r="D538" s="10" t="n">
        <f aca="false">A538/$D$4</f>
        <v>29.5555555555556</v>
      </c>
      <c r="E538" s="11" t="n">
        <f aca="false">D538*'Karnataka Fuel Rates'!$C$9</f>
        <v>2933.83222222222</v>
      </c>
    </row>
    <row r="539" customFormat="false" ht="15" hidden="false" customHeight="true" outlineLevel="0" collapsed="false">
      <c r="A539" s="1" t="n">
        <v>533</v>
      </c>
      <c r="B539" s="10" t="n">
        <f aca="false">A539/$B$4</f>
        <v>35.5333333333333</v>
      </c>
      <c r="C539" s="11" t="n">
        <f aca="false">B539*'Karnataka Fuel Rates'!$B$9</f>
        <v>3955.83716666667</v>
      </c>
      <c r="D539" s="10" t="n">
        <f aca="false">A539/$D$4</f>
        <v>29.6111111111111</v>
      </c>
      <c r="E539" s="11" t="n">
        <f aca="false">D539*'Karnataka Fuel Rates'!$C$9</f>
        <v>2939.34694444444</v>
      </c>
    </row>
    <row r="540" customFormat="false" ht="15" hidden="false" customHeight="true" outlineLevel="0" collapsed="false">
      <c r="A540" s="1" t="n">
        <v>534</v>
      </c>
      <c r="B540" s="10" t="n">
        <f aca="false">A540/$B$4</f>
        <v>35.6</v>
      </c>
      <c r="C540" s="11" t="n">
        <f aca="false">B540*'Karnataka Fuel Rates'!$B$9</f>
        <v>3963.259</v>
      </c>
      <c r="D540" s="10" t="n">
        <f aca="false">A540/$D$4</f>
        <v>29.6666666666667</v>
      </c>
      <c r="E540" s="11" t="n">
        <f aca="false">D540*'Karnataka Fuel Rates'!$C$9</f>
        <v>2944.86166666667</v>
      </c>
    </row>
    <row r="541" customFormat="false" ht="15" hidden="false" customHeight="true" outlineLevel="0" collapsed="false">
      <c r="A541" s="1" t="n">
        <v>535</v>
      </c>
      <c r="B541" s="10" t="n">
        <f aca="false">A541/$B$4</f>
        <v>35.6666666666667</v>
      </c>
      <c r="C541" s="11" t="n">
        <f aca="false">B541*'Karnataka Fuel Rates'!$B$9</f>
        <v>3970.68083333333</v>
      </c>
      <c r="D541" s="10" t="n">
        <f aca="false">A541/$D$4</f>
        <v>29.7222222222222</v>
      </c>
      <c r="E541" s="11" t="n">
        <f aca="false">D541*'Karnataka Fuel Rates'!$C$9</f>
        <v>2950.37638888889</v>
      </c>
    </row>
    <row r="542" customFormat="false" ht="15" hidden="false" customHeight="true" outlineLevel="0" collapsed="false">
      <c r="A542" s="1" t="n">
        <v>536</v>
      </c>
      <c r="B542" s="10" t="n">
        <f aca="false">A542/$B$4</f>
        <v>35.7333333333333</v>
      </c>
      <c r="C542" s="11" t="n">
        <f aca="false">B542*'Karnataka Fuel Rates'!$B$9</f>
        <v>3978.10266666667</v>
      </c>
      <c r="D542" s="10" t="n">
        <f aca="false">A542/$D$4</f>
        <v>29.7777777777778</v>
      </c>
      <c r="E542" s="11" t="n">
        <f aca="false">D542*'Karnataka Fuel Rates'!$C$9</f>
        <v>2955.89111111111</v>
      </c>
    </row>
    <row r="543" customFormat="false" ht="15" hidden="false" customHeight="true" outlineLevel="0" collapsed="false">
      <c r="A543" s="1" t="n">
        <v>537</v>
      </c>
      <c r="B543" s="10" t="n">
        <f aca="false">A543/$B$4</f>
        <v>35.8</v>
      </c>
      <c r="C543" s="11" t="n">
        <f aca="false">B543*'Karnataka Fuel Rates'!$B$9</f>
        <v>3985.5245</v>
      </c>
      <c r="D543" s="10" t="n">
        <f aca="false">A543/$D$4</f>
        <v>29.8333333333333</v>
      </c>
      <c r="E543" s="11" t="n">
        <f aca="false">D543*'Karnataka Fuel Rates'!$C$9</f>
        <v>2961.40583333333</v>
      </c>
    </row>
    <row r="544" customFormat="false" ht="15" hidden="false" customHeight="true" outlineLevel="0" collapsed="false">
      <c r="A544" s="1" t="n">
        <v>538</v>
      </c>
      <c r="B544" s="10" t="n">
        <f aca="false">A544/$B$4</f>
        <v>35.8666666666667</v>
      </c>
      <c r="C544" s="11" t="n">
        <f aca="false">B544*'Karnataka Fuel Rates'!$B$9</f>
        <v>3992.94633333333</v>
      </c>
      <c r="D544" s="10" t="n">
        <f aca="false">A544/$D$4</f>
        <v>29.8888888888889</v>
      </c>
      <c r="E544" s="11" t="n">
        <f aca="false">D544*'Karnataka Fuel Rates'!$C$9</f>
        <v>2966.92055555556</v>
      </c>
    </row>
    <row r="545" customFormat="false" ht="15" hidden="false" customHeight="true" outlineLevel="0" collapsed="false">
      <c r="A545" s="1" t="n">
        <v>539</v>
      </c>
      <c r="B545" s="10" t="n">
        <f aca="false">A545/$B$4</f>
        <v>35.9333333333333</v>
      </c>
      <c r="C545" s="11" t="n">
        <f aca="false">B545*'Karnataka Fuel Rates'!$B$9</f>
        <v>4000.36816666667</v>
      </c>
      <c r="D545" s="10" t="n">
        <f aca="false">A545/$D$4</f>
        <v>29.9444444444444</v>
      </c>
      <c r="E545" s="11" t="n">
        <f aca="false">D545*'Karnataka Fuel Rates'!$C$9</f>
        <v>2972.43527777778</v>
      </c>
    </row>
    <row r="546" customFormat="false" ht="15" hidden="false" customHeight="true" outlineLevel="0" collapsed="false">
      <c r="A546" s="1" t="n">
        <v>540</v>
      </c>
      <c r="B546" s="10" t="n">
        <f aca="false">A546/$B$4</f>
        <v>36</v>
      </c>
      <c r="C546" s="11" t="n">
        <f aca="false">B546*'Karnataka Fuel Rates'!$B$9</f>
        <v>4007.79</v>
      </c>
      <c r="D546" s="10" t="n">
        <f aca="false">A546/$D$4</f>
        <v>30</v>
      </c>
      <c r="E546" s="11" t="n">
        <f aca="false">D546*'Karnataka Fuel Rates'!$C$9</f>
        <v>2977.95</v>
      </c>
    </row>
    <row r="547" customFormat="false" ht="15" hidden="false" customHeight="true" outlineLevel="0" collapsed="false">
      <c r="A547" s="1" t="n">
        <v>541</v>
      </c>
      <c r="B547" s="10" t="n">
        <f aca="false">A547/$B$4</f>
        <v>36.0666666666667</v>
      </c>
      <c r="C547" s="11" t="n">
        <f aca="false">B547*'Karnataka Fuel Rates'!$B$9</f>
        <v>4015.21183333333</v>
      </c>
      <c r="D547" s="10" t="n">
        <f aca="false">A547/$D$4</f>
        <v>30.0555555555556</v>
      </c>
      <c r="E547" s="11" t="n">
        <f aca="false">D547*'Karnataka Fuel Rates'!$C$9</f>
        <v>2983.46472222222</v>
      </c>
    </row>
    <row r="548" customFormat="false" ht="15" hidden="false" customHeight="true" outlineLevel="0" collapsed="false">
      <c r="A548" s="1" t="n">
        <v>542</v>
      </c>
      <c r="B548" s="10" t="n">
        <f aca="false">A548/$B$4</f>
        <v>36.1333333333333</v>
      </c>
      <c r="C548" s="11" t="n">
        <f aca="false">B548*'Karnataka Fuel Rates'!$B$9</f>
        <v>4022.63366666667</v>
      </c>
      <c r="D548" s="10" t="n">
        <f aca="false">A548/$D$4</f>
        <v>30.1111111111111</v>
      </c>
      <c r="E548" s="11" t="n">
        <f aca="false">D548*'Karnataka Fuel Rates'!$C$9</f>
        <v>2988.97944444444</v>
      </c>
    </row>
    <row r="549" customFormat="false" ht="15" hidden="false" customHeight="true" outlineLevel="0" collapsed="false">
      <c r="A549" s="1" t="n">
        <v>543</v>
      </c>
      <c r="B549" s="10" t="n">
        <f aca="false">A549/$B$4</f>
        <v>36.2</v>
      </c>
      <c r="C549" s="11" t="n">
        <f aca="false">B549*'Karnataka Fuel Rates'!$B$9</f>
        <v>4030.0555</v>
      </c>
      <c r="D549" s="10" t="n">
        <f aca="false">A549/$D$4</f>
        <v>30.1666666666667</v>
      </c>
      <c r="E549" s="11" t="n">
        <f aca="false">D549*'Karnataka Fuel Rates'!$C$9</f>
        <v>2994.49416666667</v>
      </c>
    </row>
    <row r="550" customFormat="false" ht="15" hidden="false" customHeight="true" outlineLevel="0" collapsed="false">
      <c r="A550" s="1" t="n">
        <v>544</v>
      </c>
      <c r="B550" s="10" t="n">
        <f aca="false">A550/$B$4</f>
        <v>36.2666666666667</v>
      </c>
      <c r="C550" s="11" t="n">
        <f aca="false">B550*'Karnataka Fuel Rates'!$B$9</f>
        <v>4037.47733333333</v>
      </c>
      <c r="D550" s="10" t="n">
        <f aca="false">A550/$D$4</f>
        <v>30.2222222222222</v>
      </c>
      <c r="E550" s="11" t="n">
        <f aca="false">D550*'Karnataka Fuel Rates'!$C$9</f>
        <v>3000.00888888889</v>
      </c>
    </row>
    <row r="551" customFormat="false" ht="15" hidden="false" customHeight="true" outlineLevel="0" collapsed="false">
      <c r="A551" s="1" t="n">
        <v>545</v>
      </c>
      <c r="B551" s="10" t="n">
        <f aca="false">A551/$B$4</f>
        <v>36.3333333333333</v>
      </c>
      <c r="C551" s="11" t="n">
        <f aca="false">B551*'Karnataka Fuel Rates'!$B$9</f>
        <v>4044.89916666667</v>
      </c>
      <c r="D551" s="10" t="n">
        <f aca="false">A551/$D$4</f>
        <v>30.2777777777778</v>
      </c>
      <c r="E551" s="11" t="n">
        <f aca="false">D551*'Karnataka Fuel Rates'!$C$9</f>
        <v>3005.52361111111</v>
      </c>
    </row>
    <row r="552" customFormat="false" ht="15" hidden="false" customHeight="true" outlineLevel="0" collapsed="false">
      <c r="A552" s="1" t="n">
        <v>546</v>
      </c>
      <c r="B552" s="10" t="n">
        <f aca="false">A552/$B$4</f>
        <v>36.4</v>
      </c>
      <c r="C552" s="11" t="n">
        <f aca="false">B552*'Karnataka Fuel Rates'!$B$9</f>
        <v>4052.321</v>
      </c>
      <c r="D552" s="10" t="n">
        <f aca="false">A552/$D$4</f>
        <v>30.3333333333333</v>
      </c>
      <c r="E552" s="11" t="n">
        <f aca="false">D552*'Karnataka Fuel Rates'!$C$9</f>
        <v>3011.03833333333</v>
      </c>
    </row>
    <row r="553" customFormat="false" ht="15" hidden="false" customHeight="true" outlineLevel="0" collapsed="false">
      <c r="A553" s="1" t="n">
        <v>547</v>
      </c>
      <c r="B553" s="10" t="n">
        <f aca="false">A553/$B$4</f>
        <v>36.4666666666667</v>
      </c>
      <c r="C553" s="11" t="n">
        <f aca="false">B553*'Karnataka Fuel Rates'!$B$9</f>
        <v>4059.74283333333</v>
      </c>
      <c r="D553" s="10" t="n">
        <f aca="false">A553/$D$4</f>
        <v>30.3888888888889</v>
      </c>
      <c r="E553" s="11" t="n">
        <f aca="false">D553*'Karnataka Fuel Rates'!$C$9</f>
        <v>3016.55305555556</v>
      </c>
    </row>
    <row r="554" customFormat="false" ht="15" hidden="false" customHeight="true" outlineLevel="0" collapsed="false">
      <c r="A554" s="1" t="n">
        <v>548</v>
      </c>
      <c r="B554" s="10" t="n">
        <f aca="false">A554/$B$4</f>
        <v>36.5333333333333</v>
      </c>
      <c r="C554" s="11" t="n">
        <f aca="false">B554*'Karnataka Fuel Rates'!$B$9</f>
        <v>4067.16466666667</v>
      </c>
      <c r="D554" s="10" t="n">
        <f aca="false">A554/$D$4</f>
        <v>30.4444444444444</v>
      </c>
      <c r="E554" s="11" t="n">
        <f aca="false">D554*'Karnataka Fuel Rates'!$C$9</f>
        <v>3022.06777777778</v>
      </c>
    </row>
    <row r="555" customFormat="false" ht="15" hidden="false" customHeight="true" outlineLevel="0" collapsed="false">
      <c r="A555" s="1" t="n">
        <v>549</v>
      </c>
      <c r="B555" s="10" t="n">
        <f aca="false">A555/$B$4</f>
        <v>36.6</v>
      </c>
      <c r="C555" s="11" t="n">
        <f aca="false">B555*'Karnataka Fuel Rates'!$B$9</f>
        <v>4074.5865</v>
      </c>
      <c r="D555" s="10" t="n">
        <f aca="false">A555/$D$4</f>
        <v>30.5</v>
      </c>
      <c r="E555" s="11" t="n">
        <f aca="false">D555*'Karnataka Fuel Rates'!$C$9</f>
        <v>3027.5825</v>
      </c>
    </row>
    <row r="556" customFormat="false" ht="15" hidden="false" customHeight="true" outlineLevel="0" collapsed="false">
      <c r="A556" s="1" t="n">
        <v>550</v>
      </c>
      <c r="B556" s="10" t="n">
        <f aca="false">A556/$B$4</f>
        <v>36.6666666666667</v>
      </c>
      <c r="C556" s="11" t="n">
        <f aca="false">B556*'Karnataka Fuel Rates'!$B$9</f>
        <v>4082.00833333333</v>
      </c>
      <c r="D556" s="10" t="n">
        <f aca="false">A556/$D$4</f>
        <v>30.5555555555556</v>
      </c>
      <c r="E556" s="11" t="n">
        <f aca="false">D556*'Karnataka Fuel Rates'!$C$9</f>
        <v>3033.09722222222</v>
      </c>
    </row>
    <row r="557" customFormat="false" ht="15" hidden="false" customHeight="true" outlineLevel="0" collapsed="false">
      <c r="A557" s="1" t="n">
        <v>551</v>
      </c>
      <c r="B557" s="10" t="n">
        <f aca="false">A557/$B$4</f>
        <v>36.7333333333333</v>
      </c>
      <c r="C557" s="11" t="n">
        <f aca="false">B557*'Karnataka Fuel Rates'!$B$9</f>
        <v>4089.43016666667</v>
      </c>
      <c r="D557" s="10" t="n">
        <f aca="false">A557/$D$4</f>
        <v>30.6111111111111</v>
      </c>
      <c r="E557" s="11" t="n">
        <f aca="false">D557*'Karnataka Fuel Rates'!$C$9</f>
        <v>3038.61194444444</v>
      </c>
    </row>
    <row r="558" customFormat="false" ht="15" hidden="false" customHeight="true" outlineLevel="0" collapsed="false">
      <c r="A558" s="1" t="n">
        <v>552</v>
      </c>
      <c r="B558" s="10" t="n">
        <f aca="false">A558/$B$4</f>
        <v>36.8</v>
      </c>
      <c r="C558" s="11" t="n">
        <f aca="false">B558*'Karnataka Fuel Rates'!$B$9</f>
        <v>4096.852</v>
      </c>
      <c r="D558" s="10" t="n">
        <f aca="false">A558/$D$4</f>
        <v>30.6666666666667</v>
      </c>
      <c r="E558" s="11" t="n">
        <f aca="false">D558*'Karnataka Fuel Rates'!$C$9</f>
        <v>3044.12666666667</v>
      </c>
    </row>
    <row r="559" customFormat="false" ht="15" hidden="false" customHeight="true" outlineLevel="0" collapsed="false">
      <c r="A559" s="1" t="n">
        <v>553</v>
      </c>
      <c r="B559" s="10" t="n">
        <f aca="false">A559/$B$4</f>
        <v>36.8666666666667</v>
      </c>
      <c r="C559" s="11" t="n">
        <f aca="false">B559*'Karnataka Fuel Rates'!$B$9</f>
        <v>4104.27383333333</v>
      </c>
      <c r="D559" s="10" t="n">
        <f aca="false">A559/$D$4</f>
        <v>30.7222222222222</v>
      </c>
      <c r="E559" s="11" t="n">
        <f aca="false">D559*'Karnataka Fuel Rates'!$C$9</f>
        <v>3049.64138888889</v>
      </c>
    </row>
    <row r="560" customFormat="false" ht="15" hidden="false" customHeight="true" outlineLevel="0" collapsed="false">
      <c r="A560" s="1" t="n">
        <v>554</v>
      </c>
      <c r="B560" s="10" t="n">
        <f aca="false">A560/$B$4</f>
        <v>36.9333333333333</v>
      </c>
      <c r="C560" s="11" t="n">
        <f aca="false">B560*'Karnataka Fuel Rates'!$B$9</f>
        <v>4111.69566666667</v>
      </c>
      <c r="D560" s="10" t="n">
        <f aca="false">A560/$D$4</f>
        <v>30.7777777777778</v>
      </c>
      <c r="E560" s="11" t="n">
        <f aca="false">D560*'Karnataka Fuel Rates'!$C$9</f>
        <v>3055.15611111111</v>
      </c>
    </row>
    <row r="561" customFormat="false" ht="15" hidden="false" customHeight="true" outlineLevel="0" collapsed="false">
      <c r="A561" s="1" t="n">
        <v>555</v>
      </c>
      <c r="B561" s="10" t="n">
        <f aca="false">A561/$B$4</f>
        <v>37</v>
      </c>
      <c r="C561" s="11" t="n">
        <f aca="false">B561*'Karnataka Fuel Rates'!$B$9</f>
        <v>4119.1175</v>
      </c>
      <c r="D561" s="10" t="n">
        <f aca="false">A561/$D$4</f>
        <v>30.8333333333333</v>
      </c>
      <c r="E561" s="11" t="n">
        <f aca="false">D561*'Karnataka Fuel Rates'!$C$9</f>
        <v>3060.67083333333</v>
      </c>
    </row>
    <row r="562" customFormat="false" ht="15" hidden="false" customHeight="true" outlineLevel="0" collapsed="false">
      <c r="A562" s="1" t="n">
        <v>556</v>
      </c>
      <c r="B562" s="10" t="n">
        <f aca="false">A562/$B$4</f>
        <v>37.0666666666667</v>
      </c>
      <c r="C562" s="11" t="n">
        <f aca="false">B562*'Karnataka Fuel Rates'!$B$9</f>
        <v>4126.53933333333</v>
      </c>
      <c r="D562" s="10" t="n">
        <f aca="false">A562/$D$4</f>
        <v>30.8888888888889</v>
      </c>
      <c r="E562" s="11" t="n">
        <f aca="false">D562*'Karnataka Fuel Rates'!$C$9</f>
        <v>3066.18555555556</v>
      </c>
    </row>
    <row r="563" customFormat="false" ht="15" hidden="false" customHeight="true" outlineLevel="0" collapsed="false">
      <c r="A563" s="1" t="n">
        <v>557</v>
      </c>
      <c r="B563" s="10" t="n">
        <f aca="false">A563/$B$4</f>
        <v>37.1333333333333</v>
      </c>
      <c r="C563" s="11" t="n">
        <f aca="false">B563*'Karnataka Fuel Rates'!$B$9</f>
        <v>4133.96116666667</v>
      </c>
      <c r="D563" s="10" t="n">
        <f aca="false">A563/$D$4</f>
        <v>30.9444444444444</v>
      </c>
      <c r="E563" s="11" t="n">
        <f aca="false">D563*'Karnataka Fuel Rates'!$C$9</f>
        <v>3071.70027777778</v>
      </c>
    </row>
    <row r="564" customFormat="false" ht="15" hidden="false" customHeight="true" outlineLevel="0" collapsed="false">
      <c r="A564" s="1" t="n">
        <v>558</v>
      </c>
      <c r="B564" s="10" t="n">
        <f aca="false">A564/$B$4</f>
        <v>37.2</v>
      </c>
      <c r="C564" s="11" t="n">
        <f aca="false">B564*'Karnataka Fuel Rates'!$B$9</f>
        <v>4141.383</v>
      </c>
      <c r="D564" s="10" t="n">
        <f aca="false">A564/$D$4</f>
        <v>31</v>
      </c>
      <c r="E564" s="11" t="n">
        <f aca="false">D564*'Karnataka Fuel Rates'!$C$9</f>
        <v>3077.215</v>
      </c>
    </row>
    <row r="565" customFormat="false" ht="15" hidden="false" customHeight="true" outlineLevel="0" collapsed="false">
      <c r="A565" s="1" t="n">
        <v>559</v>
      </c>
      <c r="B565" s="10" t="n">
        <f aca="false">A565/$B$4</f>
        <v>37.2666666666667</v>
      </c>
      <c r="C565" s="11" t="n">
        <f aca="false">B565*'Karnataka Fuel Rates'!$B$9</f>
        <v>4148.80483333333</v>
      </c>
      <c r="D565" s="10" t="n">
        <f aca="false">A565/$D$4</f>
        <v>31.0555555555556</v>
      </c>
      <c r="E565" s="11" t="n">
        <f aca="false">D565*'Karnataka Fuel Rates'!$C$9</f>
        <v>3082.72972222222</v>
      </c>
    </row>
    <row r="566" customFormat="false" ht="15" hidden="false" customHeight="true" outlineLevel="0" collapsed="false">
      <c r="A566" s="1" t="n">
        <v>560</v>
      </c>
      <c r="B566" s="10" t="n">
        <f aca="false">A566/$B$4</f>
        <v>37.3333333333333</v>
      </c>
      <c r="C566" s="11" t="n">
        <f aca="false">B566*'Karnataka Fuel Rates'!$B$9</f>
        <v>4156.22666666667</v>
      </c>
      <c r="D566" s="10" t="n">
        <f aca="false">A566/$D$4</f>
        <v>31.1111111111111</v>
      </c>
      <c r="E566" s="11" t="n">
        <f aca="false">D566*'Karnataka Fuel Rates'!$C$9</f>
        <v>3088.24444444444</v>
      </c>
    </row>
    <row r="567" customFormat="false" ht="15" hidden="false" customHeight="true" outlineLevel="0" collapsed="false">
      <c r="A567" s="1" t="n">
        <v>561</v>
      </c>
      <c r="B567" s="10" t="n">
        <f aca="false">A567/$B$4</f>
        <v>37.4</v>
      </c>
      <c r="C567" s="11" t="n">
        <f aca="false">B567*'Karnataka Fuel Rates'!$B$9</f>
        <v>4163.6485</v>
      </c>
      <c r="D567" s="10" t="n">
        <f aca="false">A567/$D$4</f>
        <v>31.1666666666667</v>
      </c>
      <c r="E567" s="11" t="n">
        <f aca="false">D567*'Karnataka Fuel Rates'!$C$9</f>
        <v>3093.75916666667</v>
      </c>
    </row>
    <row r="568" customFormat="false" ht="15" hidden="false" customHeight="true" outlineLevel="0" collapsed="false">
      <c r="A568" s="1" t="n">
        <v>562</v>
      </c>
      <c r="B568" s="10" t="n">
        <f aca="false">A568/$B$4</f>
        <v>37.4666666666667</v>
      </c>
      <c r="C568" s="11" t="n">
        <f aca="false">B568*'Karnataka Fuel Rates'!$B$9</f>
        <v>4171.07033333333</v>
      </c>
      <c r="D568" s="10" t="n">
        <f aca="false">A568/$D$4</f>
        <v>31.2222222222222</v>
      </c>
      <c r="E568" s="11" t="n">
        <f aca="false">D568*'Karnataka Fuel Rates'!$C$9</f>
        <v>3099.27388888889</v>
      </c>
    </row>
    <row r="569" customFormat="false" ht="15" hidden="false" customHeight="true" outlineLevel="0" collapsed="false">
      <c r="A569" s="1" t="n">
        <v>563</v>
      </c>
      <c r="B569" s="10" t="n">
        <f aca="false">A569/$B$4</f>
        <v>37.5333333333333</v>
      </c>
      <c r="C569" s="11" t="n">
        <f aca="false">B569*'Karnataka Fuel Rates'!$B$9</f>
        <v>4178.49216666667</v>
      </c>
      <c r="D569" s="10" t="n">
        <f aca="false">A569/$D$4</f>
        <v>31.2777777777778</v>
      </c>
      <c r="E569" s="11" t="n">
        <f aca="false">D569*'Karnataka Fuel Rates'!$C$9</f>
        <v>3104.78861111111</v>
      </c>
    </row>
    <row r="570" customFormat="false" ht="15" hidden="false" customHeight="true" outlineLevel="0" collapsed="false">
      <c r="A570" s="1" t="n">
        <v>564</v>
      </c>
      <c r="B570" s="10" t="n">
        <f aca="false">A570/$B$4</f>
        <v>37.6</v>
      </c>
      <c r="C570" s="11" t="n">
        <f aca="false">B570*'Karnataka Fuel Rates'!$B$9</f>
        <v>4185.914</v>
      </c>
      <c r="D570" s="10" t="n">
        <f aca="false">A570/$D$4</f>
        <v>31.3333333333333</v>
      </c>
      <c r="E570" s="11" t="n">
        <f aca="false">D570*'Karnataka Fuel Rates'!$C$9</f>
        <v>3110.30333333333</v>
      </c>
    </row>
    <row r="571" customFormat="false" ht="15" hidden="false" customHeight="true" outlineLevel="0" collapsed="false">
      <c r="A571" s="1" t="n">
        <v>565</v>
      </c>
      <c r="B571" s="10" t="n">
        <f aca="false">A571/$B$4</f>
        <v>37.6666666666667</v>
      </c>
      <c r="C571" s="11" t="n">
        <f aca="false">B571*'Karnataka Fuel Rates'!$B$9</f>
        <v>4193.33583333333</v>
      </c>
      <c r="D571" s="10" t="n">
        <f aca="false">A571/$D$4</f>
        <v>31.3888888888889</v>
      </c>
      <c r="E571" s="11" t="n">
        <f aca="false">D571*'Karnataka Fuel Rates'!$C$9</f>
        <v>3115.81805555556</v>
      </c>
    </row>
    <row r="572" customFormat="false" ht="15" hidden="false" customHeight="true" outlineLevel="0" collapsed="false">
      <c r="A572" s="1" t="n">
        <v>566</v>
      </c>
      <c r="B572" s="10" t="n">
        <f aca="false">A572/$B$4</f>
        <v>37.7333333333333</v>
      </c>
      <c r="C572" s="11" t="n">
        <f aca="false">B572*'Karnataka Fuel Rates'!$B$9</f>
        <v>4200.75766666667</v>
      </c>
      <c r="D572" s="10" t="n">
        <f aca="false">A572/$D$4</f>
        <v>31.4444444444444</v>
      </c>
      <c r="E572" s="11" t="n">
        <f aca="false">D572*'Karnataka Fuel Rates'!$C$9</f>
        <v>3121.33277777778</v>
      </c>
    </row>
    <row r="573" customFormat="false" ht="15" hidden="false" customHeight="true" outlineLevel="0" collapsed="false">
      <c r="A573" s="1" t="n">
        <v>567</v>
      </c>
      <c r="B573" s="10" t="n">
        <f aca="false">A573/$B$4</f>
        <v>37.8</v>
      </c>
      <c r="C573" s="11" t="n">
        <f aca="false">B573*'Karnataka Fuel Rates'!$B$9</f>
        <v>4208.1795</v>
      </c>
      <c r="D573" s="10" t="n">
        <f aca="false">A573/$D$4</f>
        <v>31.5</v>
      </c>
      <c r="E573" s="11" t="n">
        <f aca="false">D573*'Karnataka Fuel Rates'!$C$9</f>
        <v>3126.8475</v>
      </c>
    </row>
    <row r="574" customFormat="false" ht="15" hidden="false" customHeight="true" outlineLevel="0" collapsed="false">
      <c r="A574" s="1" t="n">
        <v>568</v>
      </c>
      <c r="B574" s="10" t="n">
        <f aca="false">A574/$B$4</f>
        <v>37.8666666666667</v>
      </c>
      <c r="C574" s="11" t="n">
        <f aca="false">B574*'Karnataka Fuel Rates'!$B$9</f>
        <v>4215.60133333333</v>
      </c>
      <c r="D574" s="10" t="n">
        <f aca="false">A574/$D$4</f>
        <v>31.5555555555556</v>
      </c>
      <c r="E574" s="11" t="n">
        <f aca="false">D574*'Karnataka Fuel Rates'!$C$9</f>
        <v>3132.36222222222</v>
      </c>
    </row>
    <row r="575" customFormat="false" ht="15" hidden="false" customHeight="true" outlineLevel="0" collapsed="false">
      <c r="A575" s="1" t="n">
        <v>569</v>
      </c>
      <c r="B575" s="10" t="n">
        <f aca="false">A575/$B$4</f>
        <v>37.9333333333333</v>
      </c>
      <c r="C575" s="11" t="n">
        <f aca="false">B575*'Karnataka Fuel Rates'!$B$9</f>
        <v>4223.02316666667</v>
      </c>
      <c r="D575" s="10" t="n">
        <f aca="false">A575/$D$4</f>
        <v>31.6111111111111</v>
      </c>
      <c r="E575" s="11" t="n">
        <f aca="false">D575*'Karnataka Fuel Rates'!$C$9</f>
        <v>3137.87694444444</v>
      </c>
    </row>
    <row r="576" customFormat="false" ht="15" hidden="false" customHeight="true" outlineLevel="0" collapsed="false">
      <c r="A576" s="1" t="n">
        <v>570</v>
      </c>
      <c r="B576" s="10" t="n">
        <f aca="false">A576/$B$4</f>
        <v>38</v>
      </c>
      <c r="C576" s="11" t="n">
        <f aca="false">B576*'Karnataka Fuel Rates'!$B$9</f>
        <v>4230.445</v>
      </c>
      <c r="D576" s="10" t="n">
        <f aca="false">A576/$D$4</f>
        <v>31.6666666666667</v>
      </c>
      <c r="E576" s="11" t="n">
        <f aca="false">D576*'Karnataka Fuel Rates'!$C$9</f>
        <v>3143.39166666667</v>
      </c>
    </row>
    <row r="577" customFormat="false" ht="15" hidden="false" customHeight="true" outlineLevel="0" collapsed="false">
      <c r="A577" s="1" t="n">
        <v>571</v>
      </c>
      <c r="B577" s="10" t="n">
        <f aca="false">A577/$B$4</f>
        <v>38.0666666666667</v>
      </c>
      <c r="C577" s="11" t="n">
        <f aca="false">B577*'Karnataka Fuel Rates'!$B$9</f>
        <v>4237.86683333333</v>
      </c>
      <c r="D577" s="10" t="n">
        <f aca="false">A577/$D$4</f>
        <v>31.7222222222222</v>
      </c>
      <c r="E577" s="11" t="n">
        <f aca="false">D577*'Karnataka Fuel Rates'!$C$9</f>
        <v>3148.90638888889</v>
      </c>
    </row>
    <row r="578" customFormat="false" ht="15" hidden="false" customHeight="true" outlineLevel="0" collapsed="false">
      <c r="A578" s="1" t="n">
        <v>572</v>
      </c>
      <c r="B578" s="10" t="n">
        <f aca="false">A578/$B$4</f>
        <v>38.1333333333333</v>
      </c>
      <c r="C578" s="11" t="n">
        <f aca="false">B578*'Karnataka Fuel Rates'!$B$9</f>
        <v>4245.28866666667</v>
      </c>
      <c r="D578" s="10" t="n">
        <f aca="false">A578/$D$4</f>
        <v>31.7777777777778</v>
      </c>
      <c r="E578" s="11" t="n">
        <f aca="false">D578*'Karnataka Fuel Rates'!$C$9</f>
        <v>3154.42111111111</v>
      </c>
    </row>
    <row r="579" customFormat="false" ht="15" hidden="false" customHeight="true" outlineLevel="0" collapsed="false">
      <c r="A579" s="1" t="n">
        <v>573</v>
      </c>
      <c r="B579" s="10" t="n">
        <f aca="false">A579/$B$4</f>
        <v>38.2</v>
      </c>
      <c r="C579" s="11" t="n">
        <f aca="false">B579*'Karnataka Fuel Rates'!$B$9</f>
        <v>4252.7105</v>
      </c>
      <c r="D579" s="10" t="n">
        <f aca="false">A579/$D$4</f>
        <v>31.8333333333333</v>
      </c>
      <c r="E579" s="11" t="n">
        <f aca="false">D579*'Karnataka Fuel Rates'!$C$9</f>
        <v>3159.93583333333</v>
      </c>
    </row>
    <row r="580" customFormat="false" ht="15" hidden="false" customHeight="true" outlineLevel="0" collapsed="false">
      <c r="A580" s="1" t="n">
        <v>574</v>
      </c>
      <c r="B580" s="10" t="n">
        <f aca="false">A580/$B$4</f>
        <v>38.2666666666667</v>
      </c>
      <c r="C580" s="11" t="n">
        <f aca="false">B580*'Karnataka Fuel Rates'!$B$9</f>
        <v>4260.13233333333</v>
      </c>
      <c r="D580" s="10" t="n">
        <f aca="false">A580/$D$4</f>
        <v>31.8888888888889</v>
      </c>
      <c r="E580" s="11" t="n">
        <f aca="false">D580*'Karnataka Fuel Rates'!$C$9</f>
        <v>3165.45055555556</v>
      </c>
    </row>
    <row r="581" customFormat="false" ht="15" hidden="false" customHeight="true" outlineLevel="0" collapsed="false">
      <c r="A581" s="1" t="n">
        <v>575</v>
      </c>
      <c r="B581" s="10" t="n">
        <f aca="false">A581/$B$4</f>
        <v>38.3333333333333</v>
      </c>
      <c r="C581" s="11" t="n">
        <f aca="false">B581*'Karnataka Fuel Rates'!$B$9</f>
        <v>4267.55416666667</v>
      </c>
      <c r="D581" s="10" t="n">
        <f aca="false">A581/$D$4</f>
        <v>31.9444444444444</v>
      </c>
      <c r="E581" s="11" t="n">
        <f aca="false">D581*'Karnataka Fuel Rates'!$C$9</f>
        <v>3170.96527777778</v>
      </c>
    </row>
    <row r="582" customFormat="false" ht="15" hidden="false" customHeight="true" outlineLevel="0" collapsed="false">
      <c r="A582" s="1" t="n">
        <v>576</v>
      </c>
      <c r="B582" s="10" t="n">
        <f aca="false">A582/$B$4</f>
        <v>38.4</v>
      </c>
      <c r="C582" s="11" t="n">
        <f aca="false">B582*'Karnataka Fuel Rates'!$B$9</f>
        <v>4274.976</v>
      </c>
      <c r="D582" s="10" t="n">
        <f aca="false">A582/$D$4</f>
        <v>32</v>
      </c>
      <c r="E582" s="11" t="n">
        <f aca="false">D582*'Karnataka Fuel Rates'!$C$9</f>
        <v>3176.48</v>
      </c>
    </row>
    <row r="583" customFormat="false" ht="15" hidden="false" customHeight="true" outlineLevel="0" collapsed="false">
      <c r="A583" s="1" t="n">
        <v>577</v>
      </c>
      <c r="B583" s="10" t="n">
        <f aca="false">A583/$B$4</f>
        <v>38.4666666666667</v>
      </c>
      <c r="C583" s="11" t="n">
        <f aca="false">B583*'Karnataka Fuel Rates'!$B$9</f>
        <v>4282.39783333333</v>
      </c>
      <c r="D583" s="10" t="n">
        <f aca="false">A583/$D$4</f>
        <v>32.0555555555556</v>
      </c>
      <c r="E583" s="11" t="n">
        <f aca="false">D583*'Karnataka Fuel Rates'!$C$9</f>
        <v>3181.99472222222</v>
      </c>
    </row>
    <row r="584" customFormat="false" ht="15" hidden="false" customHeight="true" outlineLevel="0" collapsed="false">
      <c r="A584" s="1" t="n">
        <v>578</v>
      </c>
      <c r="B584" s="10" t="n">
        <f aca="false">A584/$B$4</f>
        <v>38.5333333333333</v>
      </c>
      <c r="C584" s="11" t="n">
        <f aca="false">B584*'Karnataka Fuel Rates'!$B$9</f>
        <v>4289.81966666667</v>
      </c>
      <c r="D584" s="10" t="n">
        <f aca="false">A584/$D$4</f>
        <v>32.1111111111111</v>
      </c>
      <c r="E584" s="11" t="n">
        <f aca="false">D584*'Karnataka Fuel Rates'!$C$9</f>
        <v>3187.50944444445</v>
      </c>
    </row>
    <row r="585" customFormat="false" ht="15" hidden="false" customHeight="true" outlineLevel="0" collapsed="false">
      <c r="A585" s="1" t="n">
        <v>579</v>
      </c>
      <c r="B585" s="10" t="n">
        <f aca="false">A585/$B$4</f>
        <v>38.6</v>
      </c>
      <c r="C585" s="11" t="n">
        <f aca="false">B585*'Karnataka Fuel Rates'!$B$9</f>
        <v>4297.2415</v>
      </c>
      <c r="D585" s="10" t="n">
        <f aca="false">A585/$D$4</f>
        <v>32.1666666666667</v>
      </c>
      <c r="E585" s="11" t="n">
        <f aca="false">D585*'Karnataka Fuel Rates'!$C$9</f>
        <v>3193.02416666667</v>
      </c>
    </row>
    <row r="586" customFormat="false" ht="15" hidden="false" customHeight="true" outlineLevel="0" collapsed="false">
      <c r="A586" s="1" t="n">
        <v>580</v>
      </c>
      <c r="B586" s="10" t="n">
        <f aca="false">A586/$B$4</f>
        <v>38.6666666666667</v>
      </c>
      <c r="C586" s="11" t="n">
        <f aca="false">B586*'Karnataka Fuel Rates'!$B$9</f>
        <v>4304.66333333333</v>
      </c>
      <c r="D586" s="10" t="n">
        <f aca="false">A586/$D$4</f>
        <v>32.2222222222222</v>
      </c>
      <c r="E586" s="11" t="n">
        <f aca="false">D586*'Karnataka Fuel Rates'!$C$9</f>
        <v>3198.53888888889</v>
      </c>
    </row>
    <row r="587" customFormat="false" ht="15" hidden="false" customHeight="true" outlineLevel="0" collapsed="false">
      <c r="A587" s="1" t="n">
        <v>581</v>
      </c>
      <c r="B587" s="10" t="n">
        <f aca="false">A587/$B$4</f>
        <v>38.7333333333333</v>
      </c>
      <c r="C587" s="11" t="n">
        <f aca="false">B587*'Karnataka Fuel Rates'!$B$9</f>
        <v>4312.08516666667</v>
      </c>
      <c r="D587" s="10" t="n">
        <f aca="false">A587/$D$4</f>
        <v>32.2777777777778</v>
      </c>
      <c r="E587" s="11" t="n">
        <f aca="false">D587*'Karnataka Fuel Rates'!$C$9</f>
        <v>3204.05361111111</v>
      </c>
    </row>
    <row r="588" customFormat="false" ht="15" hidden="false" customHeight="true" outlineLevel="0" collapsed="false">
      <c r="A588" s="1" t="n">
        <v>582</v>
      </c>
      <c r="B588" s="10" t="n">
        <f aca="false">A588/$B$4</f>
        <v>38.8</v>
      </c>
      <c r="C588" s="11" t="n">
        <f aca="false">B588*'Karnataka Fuel Rates'!$B$9</f>
        <v>4319.507</v>
      </c>
      <c r="D588" s="10" t="n">
        <f aca="false">A588/$D$4</f>
        <v>32.3333333333333</v>
      </c>
      <c r="E588" s="11" t="n">
        <f aca="false">D588*'Karnataka Fuel Rates'!$C$9</f>
        <v>3209.56833333333</v>
      </c>
    </row>
    <row r="589" customFormat="false" ht="15" hidden="false" customHeight="true" outlineLevel="0" collapsed="false">
      <c r="A589" s="1" t="n">
        <v>583</v>
      </c>
      <c r="B589" s="10" t="n">
        <f aca="false">A589/$B$4</f>
        <v>38.8666666666667</v>
      </c>
      <c r="C589" s="11" t="n">
        <f aca="false">B589*'Karnataka Fuel Rates'!$B$9</f>
        <v>4326.92883333333</v>
      </c>
      <c r="D589" s="10" t="n">
        <f aca="false">A589/$D$4</f>
        <v>32.3888888888889</v>
      </c>
      <c r="E589" s="11" t="n">
        <f aca="false">D589*'Karnataka Fuel Rates'!$C$9</f>
        <v>3215.08305555556</v>
      </c>
    </row>
    <row r="590" customFormat="false" ht="15" hidden="false" customHeight="true" outlineLevel="0" collapsed="false">
      <c r="A590" s="1" t="n">
        <v>584</v>
      </c>
      <c r="B590" s="10" t="n">
        <f aca="false">A590/$B$4</f>
        <v>38.9333333333333</v>
      </c>
      <c r="C590" s="11" t="n">
        <f aca="false">B590*'Karnataka Fuel Rates'!$B$9</f>
        <v>4334.35066666667</v>
      </c>
      <c r="D590" s="10" t="n">
        <f aca="false">A590/$D$4</f>
        <v>32.4444444444444</v>
      </c>
      <c r="E590" s="11" t="n">
        <f aca="false">D590*'Karnataka Fuel Rates'!$C$9</f>
        <v>3220.59777777778</v>
      </c>
    </row>
    <row r="591" customFormat="false" ht="15" hidden="false" customHeight="true" outlineLevel="0" collapsed="false">
      <c r="A591" s="1" t="n">
        <v>585</v>
      </c>
      <c r="B591" s="10" t="n">
        <f aca="false">A591/$B$4</f>
        <v>39</v>
      </c>
      <c r="C591" s="11" t="n">
        <f aca="false">B591*'Karnataka Fuel Rates'!$B$9</f>
        <v>4341.7725</v>
      </c>
      <c r="D591" s="10" t="n">
        <f aca="false">A591/$D$4</f>
        <v>32.5</v>
      </c>
      <c r="E591" s="11" t="n">
        <f aca="false">D591*'Karnataka Fuel Rates'!$C$9</f>
        <v>3226.1125</v>
      </c>
    </row>
    <row r="592" customFormat="false" ht="15" hidden="false" customHeight="true" outlineLevel="0" collapsed="false">
      <c r="A592" s="1" t="n">
        <v>586</v>
      </c>
      <c r="B592" s="10" t="n">
        <f aca="false">A592/$B$4</f>
        <v>39.0666666666667</v>
      </c>
      <c r="C592" s="11" t="n">
        <f aca="false">B592*'Karnataka Fuel Rates'!$B$9</f>
        <v>4349.19433333333</v>
      </c>
      <c r="D592" s="10" t="n">
        <f aca="false">A592/$D$4</f>
        <v>32.5555555555556</v>
      </c>
      <c r="E592" s="11" t="n">
        <f aca="false">D592*'Karnataka Fuel Rates'!$C$9</f>
        <v>3231.62722222222</v>
      </c>
    </row>
    <row r="593" customFormat="false" ht="15" hidden="false" customHeight="true" outlineLevel="0" collapsed="false">
      <c r="A593" s="1" t="n">
        <v>587</v>
      </c>
      <c r="B593" s="10" t="n">
        <f aca="false">A593/$B$4</f>
        <v>39.1333333333333</v>
      </c>
      <c r="C593" s="11" t="n">
        <f aca="false">B593*'Karnataka Fuel Rates'!$B$9</f>
        <v>4356.61616666667</v>
      </c>
      <c r="D593" s="10" t="n">
        <f aca="false">A593/$D$4</f>
        <v>32.6111111111111</v>
      </c>
      <c r="E593" s="11" t="n">
        <f aca="false">D593*'Karnataka Fuel Rates'!$C$9</f>
        <v>3237.14194444444</v>
      </c>
    </row>
    <row r="594" customFormat="false" ht="15" hidden="false" customHeight="true" outlineLevel="0" collapsed="false">
      <c r="A594" s="1" t="n">
        <v>588</v>
      </c>
      <c r="B594" s="10" t="n">
        <f aca="false">A594/$B$4</f>
        <v>39.2</v>
      </c>
      <c r="C594" s="11" t="n">
        <f aca="false">B594*'Karnataka Fuel Rates'!$B$9</f>
        <v>4364.038</v>
      </c>
      <c r="D594" s="10" t="n">
        <f aca="false">A594/$D$4</f>
        <v>32.6666666666667</v>
      </c>
      <c r="E594" s="11" t="n">
        <f aca="false">D594*'Karnataka Fuel Rates'!$C$9</f>
        <v>3242.65666666667</v>
      </c>
    </row>
    <row r="595" customFormat="false" ht="15" hidden="false" customHeight="true" outlineLevel="0" collapsed="false">
      <c r="A595" s="1" t="n">
        <v>589</v>
      </c>
      <c r="B595" s="10" t="n">
        <f aca="false">A595/$B$4</f>
        <v>39.2666666666667</v>
      </c>
      <c r="C595" s="11" t="n">
        <f aca="false">B595*'Karnataka Fuel Rates'!$B$9</f>
        <v>4371.45983333333</v>
      </c>
      <c r="D595" s="10" t="n">
        <f aca="false">A595/$D$4</f>
        <v>32.7222222222222</v>
      </c>
      <c r="E595" s="11" t="n">
        <f aca="false">D595*'Karnataka Fuel Rates'!$C$9</f>
        <v>3248.17138888889</v>
      </c>
    </row>
    <row r="596" customFormat="false" ht="15" hidden="false" customHeight="true" outlineLevel="0" collapsed="false">
      <c r="A596" s="1" t="n">
        <v>590</v>
      </c>
      <c r="B596" s="10" t="n">
        <f aca="false">A596/$B$4</f>
        <v>39.3333333333333</v>
      </c>
      <c r="C596" s="11" t="n">
        <f aca="false">B596*'Karnataka Fuel Rates'!$B$9</f>
        <v>4378.88166666667</v>
      </c>
      <c r="D596" s="10" t="n">
        <f aca="false">A596/$D$4</f>
        <v>32.7777777777778</v>
      </c>
      <c r="E596" s="11" t="n">
        <f aca="false">D596*'Karnataka Fuel Rates'!$C$9</f>
        <v>3253.68611111111</v>
      </c>
    </row>
    <row r="597" customFormat="false" ht="15" hidden="false" customHeight="true" outlineLevel="0" collapsed="false">
      <c r="A597" s="1" t="n">
        <v>591</v>
      </c>
      <c r="B597" s="10" t="n">
        <f aca="false">A597/$B$4</f>
        <v>39.4</v>
      </c>
      <c r="C597" s="11" t="n">
        <f aca="false">B597*'Karnataka Fuel Rates'!$B$9</f>
        <v>4386.3035</v>
      </c>
      <c r="D597" s="10" t="n">
        <f aca="false">A597/$D$4</f>
        <v>32.8333333333333</v>
      </c>
      <c r="E597" s="11" t="n">
        <f aca="false">D597*'Karnataka Fuel Rates'!$C$9</f>
        <v>3259.20083333333</v>
      </c>
    </row>
    <row r="598" customFormat="false" ht="15" hidden="false" customHeight="true" outlineLevel="0" collapsed="false">
      <c r="A598" s="1" t="n">
        <v>592</v>
      </c>
      <c r="B598" s="10" t="n">
        <f aca="false">A598/$B$4</f>
        <v>39.4666666666667</v>
      </c>
      <c r="C598" s="11" t="n">
        <f aca="false">B598*'Karnataka Fuel Rates'!$B$9</f>
        <v>4393.72533333333</v>
      </c>
      <c r="D598" s="10" t="n">
        <f aca="false">A598/$D$4</f>
        <v>32.8888888888889</v>
      </c>
      <c r="E598" s="11" t="n">
        <f aca="false">D598*'Karnataka Fuel Rates'!$C$9</f>
        <v>3264.71555555556</v>
      </c>
    </row>
    <row r="599" customFormat="false" ht="15" hidden="false" customHeight="true" outlineLevel="0" collapsed="false">
      <c r="A599" s="1" t="n">
        <v>593</v>
      </c>
      <c r="B599" s="10" t="n">
        <f aca="false">A599/$B$4</f>
        <v>39.5333333333333</v>
      </c>
      <c r="C599" s="11" t="n">
        <f aca="false">B599*'Karnataka Fuel Rates'!$B$9</f>
        <v>4401.14716666667</v>
      </c>
      <c r="D599" s="10" t="n">
        <f aca="false">A599/$D$4</f>
        <v>32.9444444444444</v>
      </c>
      <c r="E599" s="11" t="n">
        <f aca="false">D599*'Karnataka Fuel Rates'!$C$9</f>
        <v>3270.23027777778</v>
      </c>
    </row>
    <row r="600" customFormat="false" ht="15" hidden="false" customHeight="true" outlineLevel="0" collapsed="false">
      <c r="A600" s="1" t="n">
        <v>594</v>
      </c>
      <c r="B600" s="10" t="n">
        <f aca="false">A600/$B$4</f>
        <v>39.6</v>
      </c>
      <c r="C600" s="11" t="n">
        <f aca="false">B600*'Karnataka Fuel Rates'!$B$9</f>
        <v>4408.569</v>
      </c>
      <c r="D600" s="10" t="n">
        <f aca="false">A600/$D$4</f>
        <v>33</v>
      </c>
      <c r="E600" s="11" t="n">
        <f aca="false">D600*'Karnataka Fuel Rates'!$C$9</f>
        <v>3275.745</v>
      </c>
    </row>
    <row r="601" customFormat="false" ht="15" hidden="false" customHeight="true" outlineLevel="0" collapsed="false">
      <c r="A601" s="1" t="n">
        <v>595</v>
      </c>
      <c r="B601" s="10" t="n">
        <f aca="false">A601/$B$4</f>
        <v>39.6666666666667</v>
      </c>
      <c r="C601" s="11" t="n">
        <f aca="false">B601*'Karnataka Fuel Rates'!$B$9</f>
        <v>4415.99083333333</v>
      </c>
      <c r="D601" s="10" t="n">
        <f aca="false">A601/$D$4</f>
        <v>33.0555555555556</v>
      </c>
      <c r="E601" s="11" t="n">
        <f aca="false">D601*'Karnataka Fuel Rates'!$C$9</f>
        <v>3281.25972222222</v>
      </c>
    </row>
    <row r="602" customFormat="false" ht="15" hidden="false" customHeight="true" outlineLevel="0" collapsed="false">
      <c r="A602" s="1" t="n">
        <v>596</v>
      </c>
      <c r="B602" s="10" t="n">
        <f aca="false">A602/$B$4</f>
        <v>39.7333333333333</v>
      </c>
      <c r="C602" s="11" t="n">
        <f aca="false">B602*'Karnataka Fuel Rates'!$B$9</f>
        <v>4423.41266666667</v>
      </c>
      <c r="D602" s="10" t="n">
        <f aca="false">A602/$D$4</f>
        <v>33.1111111111111</v>
      </c>
      <c r="E602" s="11" t="n">
        <f aca="false">D602*'Karnataka Fuel Rates'!$C$9</f>
        <v>3286.77444444444</v>
      </c>
    </row>
    <row r="603" customFormat="false" ht="15" hidden="false" customHeight="true" outlineLevel="0" collapsed="false">
      <c r="A603" s="1" t="n">
        <v>597</v>
      </c>
      <c r="B603" s="10" t="n">
        <f aca="false">A603/$B$4</f>
        <v>39.8</v>
      </c>
      <c r="C603" s="11" t="n">
        <f aca="false">B603*'Karnataka Fuel Rates'!$B$9</f>
        <v>4430.8345</v>
      </c>
      <c r="D603" s="10" t="n">
        <f aca="false">A603/$D$4</f>
        <v>33.1666666666667</v>
      </c>
      <c r="E603" s="11" t="n">
        <f aca="false">D603*'Karnataka Fuel Rates'!$C$9</f>
        <v>3292.28916666667</v>
      </c>
    </row>
    <row r="604" customFormat="false" ht="15" hidden="false" customHeight="true" outlineLevel="0" collapsed="false">
      <c r="A604" s="1" t="n">
        <v>598</v>
      </c>
      <c r="B604" s="10" t="n">
        <f aca="false">A604/$B$4</f>
        <v>39.8666666666667</v>
      </c>
      <c r="C604" s="11" t="n">
        <f aca="false">B604*'Karnataka Fuel Rates'!$B$9</f>
        <v>4438.25633333333</v>
      </c>
      <c r="D604" s="10" t="n">
        <f aca="false">A604/$D$4</f>
        <v>33.2222222222222</v>
      </c>
      <c r="E604" s="11" t="n">
        <f aca="false">D604*'Karnataka Fuel Rates'!$C$9</f>
        <v>3297.80388888889</v>
      </c>
    </row>
    <row r="605" customFormat="false" ht="15" hidden="false" customHeight="true" outlineLevel="0" collapsed="false">
      <c r="A605" s="1" t="n">
        <v>599</v>
      </c>
      <c r="B605" s="10" t="n">
        <f aca="false">A605/$B$4</f>
        <v>39.9333333333333</v>
      </c>
      <c r="C605" s="11" t="n">
        <f aca="false">B605*'Karnataka Fuel Rates'!$B$9</f>
        <v>4445.67816666667</v>
      </c>
      <c r="D605" s="10" t="n">
        <f aca="false">A605/$D$4</f>
        <v>33.2777777777778</v>
      </c>
      <c r="E605" s="11" t="n">
        <f aca="false">D605*'Karnataka Fuel Rates'!$C$9</f>
        <v>3303.31861111111</v>
      </c>
    </row>
    <row r="606" customFormat="false" ht="15" hidden="false" customHeight="true" outlineLevel="0" collapsed="false">
      <c r="A606" s="1" t="n">
        <v>600</v>
      </c>
      <c r="B606" s="10" t="n">
        <f aca="false">A606/$B$4</f>
        <v>40</v>
      </c>
      <c r="C606" s="11" t="n">
        <f aca="false">B606*'Karnataka Fuel Rates'!$B$9</f>
        <v>4453.1</v>
      </c>
      <c r="D606" s="10" t="n">
        <f aca="false">A606/$D$4</f>
        <v>33.3333333333333</v>
      </c>
      <c r="E606" s="11" t="n">
        <f aca="false">D606*'Karnataka Fuel Rates'!$C$9</f>
        <v>3308.83333333333</v>
      </c>
    </row>
    <row r="607" customFormat="false" ht="15" hidden="false" customHeight="true" outlineLevel="0" collapsed="false">
      <c r="A607" s="1" t="n">
        <v>601</v>
      </c>
      <c r="B607" s="10" t="n">
        <f aca="false">A607/$B$4</f>
        <v>40.0666666666667</v>
      </c>
      <c r="C607" s="11" t="n">
        <f aca="false">B607*'Karnataka Fuel Rates'!$B$9</f>
        <v>4460.52183333333</v>
      </c>
      <c r="D607" s="10" t="n">
        <f aca="false">A607/$D$4</f>
        <v>33.3888888888889</v>
      </c>
      <c r="E607" s="11" t="n">
        <f aca="false">D607*'Karnataka Fuel Rates'!$C$9</f>
        <v>3314.34805555556</v>
      </c>
    </row>
    <row r="608" customFormat="false" ht="15" hidden="false" customHeight="true" outlineLevel="0" collapsed="false">
      <c r="A608" s="1" t="n">
        <v>602</v>
      </c>
      <c r="B608" s="10" t="n">
        <f aca="false">A608/$B$4</f>
        <v>40.1333333333333</v>
      </c>
      <c r="C608" s="11" t="n">
        <f aca="false">B608*'Karnataka Fuel Rates'!$B$9</f>
        <v>4467.94366666667</v>
      </c>
      <c r="D608" s="10" t="n">
        <f aca="false">A608/$D$4</f>
        <v>33.4444444444444</v>
      </c>
      <c r="E608" s="11" t="n">
        <f aca="false">D608*'Karnataka Fuel Rates'!$C$9</f>
        <v>3319.86277777778</v>
      </c>
    </row>
    <row r="609" customFormat="false" ht="15" hidden="false" customHeight="true" outlineLevel="0" collapsed="false">
      <c r="A609" s="1" t="n">
        <v>603</v>
      </c>
      <c r="B609" s="10" t="n">
        <f aca="false">A609/$B$4</f>
        <v>40.2</v>
      </c>
      <c r="C609" s="11" t="n">
        <f aca="false">B609*'Karnataka Fuel Rates'!$B$9</f>
        <v>4475.3655</v>
      </c>
      <c r="D609" s="10" t="n">
        <f aca="false">A609/$D$4</f>
        <v>33.5</v>
      </c>
      <c r="E609" s="11" t="n">
        <f aca="false">D609*'Karnataka Fuel Rates'!$C$9</f>
        <v>3325.3775</v>
      </c>
    </row>
    <row r="610" customFormat="false" ht="15" hidden="false" customHeight="true" outlineLevel="0" collapsed="false">
      <c r="A610" s="1" t="n">
        <v>604</v>
      </c>
      <c r="B610" s="10" t="n">
        <f aca="false">A610/$B$4</f>
        <v>40.2666666666667</v>
      </c>
      <c r="C610" s="11" t="n">
        <f aca="false">B610*'Karnataka Fuel Rates'!$B$9</f>
        <v>4482.78733333333</v>
      </c>
      <c r="D610" s="10" t="n">
        <f aca="false">A610/$D$4</f>
        <v>33.5555555555556</v>
      </c>
      <c r="E610" s="11" t="n">
        <f aca="false">D610*'Karnataka Fuel Rates'!$C$9</f>
        <v>3330.89222222222</v>
      </c>
    </row>
    <row r="611" customFormat="false" ht="15" hidden="false" customHeight="true" outlineLevel="0" collapsed="false">
      <c r="A611" s="1" t="n">
        <v>605</v>
      </c>
      <c r="B611" s="10" t="n">
        <f aca="false">A611/$B$4</f>
        <v>40.3333333333333</v>
      </c>
      <c r="C611" s="11" t="n">
        <f aca="false">B611*'Karnataka Fuel Rates'!$B$9</f>
        <v>4490.20916666667</v>
      </c>
      <c r="D611" s="10" t="n">
        <f aca="false">A611/$D$4</f>
        <v>33.6111111111111</v>
      </c>
      <c r="E611" s="11" t="n">
        <f aca="false">D611*'Karnataka Fuel Rates'!$C$9</f>
        <v>3336.40694444445</v>
      </c>
    </row>
    <row r="612" customFormat="false" ht="15" hidden="false" customHeight="true" outlineLevel="0" collapsed="false">
      <c r="A612" s="1" t="n">
        <v>606</v>
      </c>
      <c r="B612" s="10" t="n">
        <f aca="false">A612/$B$4</f>
        <v>40.4</v>
      </c>
      <c r="C612" s="11" t="n">
        <f aca="false">B612*'Karnataka Fuel Rates'!$B$9</f>
        <v>4497.631</v>
      </c>
      <c r="D612" s="10" t="n">
        <f aca="false">A612/$D$4</f>
        <v>33.6666666666667</v>
      </c>
      <c r="E612" s="11" t="n">
        <f aca="false">D612*'Karnataka Fuel Rates'!$C$9</f>
        <v>3341.92166666667</v>
      </c>
    </row>
    <row r="613" customFormat="false" ht="15" hidden="false" customHeight="true" outlineLevel="0" collapsed="false">
      <c r="A613" s="1" t="n">
        <v>607</v>
      </c>
      <c r="B613" s="10" t="n">
        <f aca="false">A613/$B$4</f>
        <v>40.4666666666667</v>
      </c>
      <c r="C613" s="11" t="n">
        <f aca="false">B613*'Karnataka Fuel Rates'!$B$9</f>
        <v>4505.05283333333</v>
      </c>
      <c r="D613" s="10" t="n">
        <f aca="false">A613/$D$4</f>
        <v>33.7222222222222</v>
      </c>
      <c r="E613" s="11" t="n">
        <f aca="false">D613*'Karnataka Fuel Rates'!$C$9</f>
        <v>3347.43638888889</v>
      </c>
    </row>
    <row r="614" customFormat="false" ht="15" hidden="false" customHeight="true" outlineLevel="0" collapsed="false">
      <c r="A614" s="1" t="n">
        <v>608</v>
      </c>
      <c r="B614" s="10" t="n">
        <f aca="false">A614/$B$4</f>
        <v>40.5333333333333</v>
      </c>
      <c r="C614" s="11" t="n">
        <f aca="false">B614*'Karnataka Fuel Rates'!$B$9</f>
        <v>4512.47466666667</v>
      </c>
      <c r="D614" s="10" t="n">
        <f aca="false">A614/$D$4</f>
        <v>33.7777777777778</v>
      </c>
      <c r="E614" s="11" t="n">
        <f aca="false">D614*'Karnataka Fuel Rates'!$C$9</f>
        <v>3352.95111111111</v>
      </c>
    </row>
    <row r="615" customFormat="false" ht="15" hidden="false" customHeight="true" outlineLevel="0" collapsed="false">
      <c r="A615" s="1" t="n">
        <v>609</v>
      </c>
      <c r="B615" s="10" t="n">
        <f aca="false">A615/$B$4</f>
        <v>40.6</v>
      </c>
      <c r="C615" s="11" t="n">
        <f aca="false">B615*'Karnataka Fuel Rates'!$B$9</f>
        <v>4519.8965</v>
      </c>
      <c r="D615" s="10" t="n">
        <f aca="false">A615/$D$4</f>
        <v>33.8333333333333</v>
      </c>
      <c r="E615" s="11" t="n">
        <f aca="false">D615*'Karnataka Fuel Rates'!$C$9</f>
        <v>3358.46583333333</v>
      </c>
    </row>
    <row r="616" customFormat="false" ht="15" hidden="false" customHeight="true" outlineLevel="0" collapsed="false">
      <c r="A616" s="1" t="n">
        <v>610</v>
      </c>
      <c r="B616" s="10" t="n">
        <f aca="false">A616/$B$4</f>
        <v>40.6666666666667</v>
      </c>
      <c r="C616" s="11" t="n">
        <f aca="false">B616*'Karnataka Fuel Rates'!$B$9</f>
        <v>4527.31833333333</v>
      </c>
      <c r="D616" s="10" t="n">
        <f aca="false">A616/$D$4</f>
        <v>33.8888888888889</v>
      </c>
      <c r="E616" s="11" t="n">
        <f aca="false">D616*'Karnataka Fuel Rates'!$C$9</f>
        <v>3363.98055555556</v>
      </c>
    </row>
    <row r="617" customFormat="false" ht="15" hidden="false" customHeight="true" outlineLevel="0" collapsed="false">
      <c r="A617" s="1" t="n">
        <v>611</v>
      </c>
      <c r="B617" s="10" t="n">
        <f aca="false">A617/$B$4</f>
        <v>40.7333333333333</v>
      </c>
      <c r="C617" s="11" t="n">
        <f aca="false">B617*'Karnataka Fuel Rates'!$B$9</f>
        <v>4534.74016666667</v>
      </c>
      <c r="D617" s="10" t="n">
        <f aca="false">A617/$D$4</f>
        <v>33.9444444444444</v>
      </c>
      <c r="E617" s="11" t="n">
        <f aca="false">D617*'Karnataka Fuel Rates'!$C$9</f>
        <v>3369.49527777778</v>
      </c>
    </row>
    <row r="618" customFormat="false" ht="15" hidden="false" customHeight="true" outlineLevel="0" collapsed="false">
      <c r="A618" s="1" t="n">
        <v>612</v>
      </c>
      <c r="B618" s="10" t="n">
        <f aca="false">A618/$B$4</f>
        <v>40.8</v>
      </c>
      <c r="C618" s="11" t="n">
        <f aca="false">B618*'Karnataka Fuel Rates'!$B$9</f>
        <v>4542.162</v>
      </c>
      <c r="D618" s="10" t="n">
        <f aca="false">A618/$D$4</f>
        <v>34</v>
      </c>
      <c r="E618" s="11" t="n">
        <f aca="false">D618*'Karnataka Fuel Rates'!$C$9</f>
        <v>3375.01</v>
      </c>
    </row>
    <row r="619" customFormat="false" ht="15" hidden="false" customHeight="true" outlineLevel="0" collapsed="false">
      <c r="A619" s="1" t="n">
        <v>613</v>
      </c>
      <c r="B619" s="10" t="n">
        <f aca="false">A619/$B$4</f>
        <v>40.8666666666667</v>
      </c>
      <c r="C619" s="11" t="n">
        <f aca="false">B619*'Karnataka Fuel Rates'!$B$9</f>
        <v>4549.58383333333</v>
      </c>
      <c r="D619" s="10" t="n">
        <f aca="false">A619/$D$4</f>
        <v>34.0555555555556</v>
      </c>
      <c r="E619" s="11" t="n">
        <f aca="false">D619*'Karnataka Fuel Rates'!$C$9</f>
        <v>3380.52472222222</v>
      </c>
    </row>
    <row r="620" customFormat="false" ht="15" hidden="false" customHeight="true" outlineLevel="0" collapsed="false">
      <c r="A620" s="1" t="n">
        <v>614</v>
      </c>
      <c r="B620" s="10" t="n">
        <f aca="false">A620/$B$4</f>
        <v>40.9333333333333</v>
      </c>
      <c r="C620" s="11" t="n">
        <f aca="false">B620*'Karnataka Fuel Rates'!$B$9</f>
        <v>4557.00566666667</v>
      </c>
      <c r="D620" s="10" t="n">
        <f aca="false">A620/$D$4</f>
        <v>34.1111111111111</v>
      </c>
      <c r="E620" s="11" t="n">
        <f aca="false">D620*'Karnataka Fuel Rates'!$C$9</f>
        <v>3386.03944444444</v>
      </c>
    </row>
    <row r="621" customFormat="false" ht="15" hidden="false" customHeight="true" outlineLevel="0" collapsed="false">
      <c r="A621" s="1" t="n">
        <v>615</v>
      </c>
      <c r="B621" s="10" t="n">
        <f aca="false">A621/$B$4</f>
        <v>41</v>
      </c>
      <c r="C621" s="11" t="n">
        <f aca="false">B621*'Karnataka Fuel Rates'!$B$9</f>
        <v>4564.4275</v>
      </c>
      <c r="D621" s="10" t="n">
        <f aca="false">A621/$D$4</f>
        <v>34.1666666666667</v>
      </c>
      <c r="E621" s="11" t="n">
        <f aca="false">D621*'Karnataka Fuel Rates'!$C$9</f>
        <v>3391.55416666667</v>
      </c>
    </row>
    <row r="622" customFormat="false" ht="15" hidden="false" customHeight="true" outlineLevel="0" collapsed="false">
      <c r="A622" s="1" t="n">
        <v>616</v>
      </c>
      <c r="B622" s="10" t="n">
        <f aca="false">A622/$B$4</f>
        <v>41.0666666666667</v>
      </c>
      <c r="C622" s="11" t="n">
        <f aca="false">B622*'Karnataka Fuel Rates'!$B$9</f>
        <v>4571.84933333333</v>
      </c>
      <c r="D622" s="10" t="n">
        <f aca="false">A622/$D$4</f>
        <v>34.2222222222222</v>
      </c>
      <c r="E622" s="11" t="n">
        <f aca="false">D622*'Karnataka Fuel Rates'!$C$9</f>
        <v>3397.06888888889</v>
      </c>
    </row>
    <row r="623" customFormat="false" ht="15" hidden="false" customHeight="true" outlineLevel="0" collapsed="false">
      <c r="A623" s="1" t="n">
        <v>617</v>
      </c>
      <c r="B623" s="10" t="n">
        <f aca="false">A623/$B$4</f>
        <v>41.1333333333333</v>
      </c>
      <c r="C623" s="11" t="n">
        <f aca="false">B623*'Karnataka Fuel Rates'!$B$9</f>
        <v>4579.27116666667</v>
      </c>
      <c r="D623" s="10" t="n">
        <f aca="false">A623/$D$4</f>
        <v>34.2777777777778</v>
      </c>
      <c r="E623" s="11" t="n">
        <f aca="false">D623*'Karnataka Fuel Rates'!$C$9</f>
        <v>3402.58361111111</v>
      </c>
    </row>
    <row r="624" customFormat="false" ht="15" hidden="false" customHeight="true" outlineLevel="0" collapsed="false">
      <c r="A624" s="1" t="n">
        <v>618</v>
      </c>
      <c r="B624" s="10" t="n">
        <f aca="false">A624/$B$4</f>
        <v>41.2</v>
      </c>
      <c r="C624" s="11" t="n">
        <f aca="false">B624*'Karnataka Fuel Rates'!$B$9</f>
        <v>4586.693</v>
      </c>
      <c r="D624" s="10" t="n">
        <f aca="false">A624/$D$4</f>
        <v>34.3333333333333</v>
      </c>
      <c r="E624" s="11" t="n">
        <f aca="false">D624*'Karnataka Fuel Rates'!$C$9</f>
        <v>3408.09833333333</v>
      </c>
    </row>
    <row r="625" customFormat="false" ht="15" hidden="false" customHeight="true" outlineLevel="0" collapsed="false">
      <c r="A625" s="1" t="n">
        <v>619</v>
      </c>
      <c r="B625" s="10" t="n">
        <f aca="false">A625/$B$4</f>
        <v>41.2666666666667</v>
      </c>
      <c r="C625" s="11" t="n">
        <f aca="false">B625*'Karnataka Fuel Rates'!$B$9</f>
        <v>4594.11483333333</v>
      </c>
      <c r="D625" s="10" t="n">
        <f aca="false">A625/$D$4</f>
        <v>34.3888888888889</v>
      </c>
      <c r="E625" s="11" t="n">
        <f aca="false">D625*'Karnataka Fuel Rates'!$C$9</f>
        <v>3413.61305555556</v>
      </c>
    </row>
    <row r="626" customFormat="false" ht="15" hidden="false" customHeight="true" outlineLevel="0" collapsed="false">
      <c r="A626" s="1" t="n">
        <v>620</v>
      </c>
      <c r="B626" s="10" t="n">
        <f aca="false">A626/$B$4</f>
        <v>41.3333333333333</v>
      </c>
      <c r="C626" s="11" t="n">
        <f aca="false">B626*'Karnataka Fuel Rates'!$B$9</f>
        <v>4601.53666666667</v>
      </c>
      <c r="D626" s="10" t="n">
        <f aca="false">A626/$D$4</f>
        <v>34.4444444444444</v>
      </c>
      <c r="E626" s="11" t="n">
        <f aca="false">D626*'Karnataka Fuel Rates'!$C$9</f>
        <v>3419.12777777778</v>
      </c>
    </row>
    <row r="627" customFormat="false" ht="15" hidden="false" customHeight="true" outlineLevel="0" collapsed="false">
      <c r="A627" s="1" t="n">
        <v>621</v>
      </c>
      <c r="B627" s="10" t="n">
        <f aca="false">A627/$B$4</f>
        <v>41.4</v>
      </c>
      <c r="C627" s="11" t="n">
        <f aca="false">B627*'Karnataka Fuel Rates'!$B$9</f>
        <v>4608.9585</v>
      </c>
      <c r="D627" s="10" t="n">
        <f aca="false">A627/$D$4</f>
        <v>34.5</v>
      </c>
      <c r="E627" s="11" t="n">
        <f aca="false">D627*'Karnataka Fuel Rates'!$C$9</f>
        <v>3424.6425</v>
      </c>
    </row>
    <row r="628" customFormat="false" ht="15" hidden="false" customHeight="true" outlineLevel="0" collapsed="false">
      <c r="A628" s="1" t="n">
        <v>622</v>
      </c>
      <c r="B628" s="10" t="n">
        <f aca="false">A628/$B$4</f>
        <v>41.4666666666667</v>
      </c>
      <c r="C628" s="11" t="n">
        <f aca="false">B628*'Karnataka Fuel Rates'!$B$9</f>
        <v>4616.38033333333</v>
      </c>
      <c r="D628" s="10" t="n">
        <f aca="false">A628/$D$4</f>
        <v>34.5555555555556</v>
      </c>
      <c r="E628" s="11" t="n">
        <f aca="false">D628*'Karnataka Fuel Rates'!$C$9</f>
        <v>3430.15722222222</v>
      </c>
    </row>
    <row r="629" customFormat="false" ht="15" hidden="false" customHeight="true" outlineLevel="0" collapsed="false">
      <c r="A629" s="1" t="n">
        <v>623</v>
      </c>
      <c r="B629" s="10" t="n">
        <f aca="false">A629/$B$4</f>
        <v>41.5333333333333</v>
      </c>
      <c r="C629" s="11" t="n">
        <f aca="false">B629*'Karnataka Fuel Rates'!$B$9</f>
        <v>4623.80216666667</v>
      </c>
      <c r="D629" s="10" t="n">
        <f aca="false">A629/$D$4</f>
        <v>34.6111111111111</v>
      </c>
      <c r="E629" s="11" t="n">
        <f aca="false">D629*'Karnataka Fuel Rates'!$C$9</f>
        <v>3435.67194444444</v>
      </c>
    </row>
    <row r="630" customFormat="false" ht="15" hidden="false" customHeight="true" outlineLevel="0" collapsed="false">
      <c r="A630" s="1" t="n">
        <v>624</v>
      </c>
      <c r="B630" s="10" t="n">
        <f aca="false">A630/$B$4</f>
        <v>41.6</v>
      </c>
      <c r="C630" s="11" t="n">
        <f aca="false">B630*'Karnataka Fuel Rates'!$B$9</f>
        <v>4631.224</v>
      </c>
      <c r="D630" s="10" t="n">
        <f aca="false">A630/$D$4</f>
        <v>34.6666666666667</v>
      </c>
      <c r="E630" s="11" t="n">
        <f aca="false">D630*'Karnataka Fuel Rates'!$C$9</f>
        <v>3441.18666666667</v>
      </c>
    </row>
    <row r="631" customFormat="false" ht="15" hidden="false" customHeight="true" outlineLevel="0" collapsed="false">
      <c r="A631" s="1" t="n">
        <v>625</v>
      </c>
      <c r="B631" s="10" t="n">
        <f aca="false">A631/$B$4</f>
        <v>41.6666666666667</v>
      </c>
      <c r="C631" s="11" t="n">
        <f aca="false">B631*'Karnataka Fuel Rates'!$B$9</f>
        <v>4638.64583333333</v>
      </c>
      <c r="D631" s="10" t="n">
        <f aca="false">A631/$D$4</f>
        <v>34.7222222222222</v>
      </c>
      <c r="E631" s="11" t="n">
        <f aca="false">D631*'Karnataka Fuel Rates'!$C$9</f>
        <v>3446.70138888889</v>
      </c>
    </row>
    <row r="632" customFormat="false" ht="15" hidden="false" customHeight="true" outlineLevel="0" collapsed="false">
      <c r="A632" s="1" t="n">
        <v>626</v>
      </c>
      <c r="B632" s="10" t="n">
        <f aca="false">A632/$B$4</f>
        <v>41.7333333333333</v>
      </c>
      <c r="C632" s="11" t="n">
        <f aca="false">B632*'Karnataka Fuel Rates'!$B$9</f>
        <v>4646.06766666667</v>
      </c>
      <c r="D632" s="10" t="n">
        <f aca="false">A632/$D$4</f>
        <v>34.7777777777778</v>
      </c>
      <c r="E632" s="11" t="n">
        <f aca="false">D632*'Karnataka Fuel Rates'!$C$9</f>
        <v>3452.21611111111</v>
      </c>
    </row>
    <row r="633" customFormat="false" ht="15" hidden="false" customHeight="true" outlineLevel="0" collapsed="false">
      <c r="A633" s="1" t="n">
        <v>627</v>
      </c>
      <c r="B633" s="10" t="n">
        <f aca="false">A633/$B$4</f>
        <v>41.8</v>
      </c>
      <c r="C633" s="11" t="n">
        <f aca="false">B633*'Karnataka Fuel Rates'!$B$9</f>
        <v>4653.4895</v>
      </c>
      <c r="D633" s="10" t="n">
        <f aca="false">A633/$D$4</f>
        <v>34.8333333333333</v>
      </c>
      <c r="E633" s="11" t="n">
        <f aca="false">D633*'Karnataka Fuel Rates'!$C$9</f>
        <v>3457.73083333333</v>
      </c>
    </row>
    <row r="634" customFormat="false" ht="15" hidden="false" customHeight="true" outlineLevel="0" collapsed="false">
      <c r="A634" s="1" t="n">
        <v>628</v>
      </c>
      <c r="B634" s="10" t="n">
        <f aca="false">A634/$B$4</f>
        <v>41.8666666666667</v>
      </c>
      <c r="C634" s="11" t="n">
        <f aca="false">B634*'Karnataka Fuel Rates'!$B$9</f>
        <v>4660.91133333333</v>
      </c>
      <c r="D634" s="10" t="n">
        <f aca="false">A634/$D$4</f>
        <v>34.8888888888889</v>
      </c>
      <c r="E634" s="11" t="n">
        <f aca="false">D634*'Karnataka Fuel Rates'!$C$9</f>
        <v>3463.24555555556</v>
      </c>
    </row>
    <row r="635" customFormat="false" ht="15" hidden="false" customHeight="true" outlineLevel="0" collapsed="false">
      <c r="A635" s="1" t="n">
        <v>629</v>
      </c>
      <c r="B635" s="10" t="n">
        <f aca="false">A635/$B$4</f>
        <v>41.9333333333333</v>
      </c>
      <c r="C635" s="11" t="n">
        <f aca="false">B635*'Karnataka Fuel Rates'!$B$9</f>
        <v>4668.33316666667</v>
      </c>
      <c r="D635" s="10" t="n">
        <f aca="false">A635/$D$4</f>
        <v>34.9444444444444</v>
      </c>
      <c r="E635" s="11" t="n">
        <f aca="false">D635*'Karnataka Fuel Rates'!$C$9</f>
        <v>3468.76027777778</v>
      </c>
    </row>
    <row r="636" customFormat="false" ht="15" hidden="false" customHeight="true" outlineLevel="0" collapsed="false">
      <c r="A636" s="1" t="n">
        <v>630</v>
      </c>
      <c r="B636" s="10" t="n">
        <f aca="false">A636/$B$4</f>
        <v>42</v>
      </c>
      <c r="C636" s="11" t="n">
        <f aca="false">B636*'Karnataka Fuel Rates'!$B$9</f>
        <v>4675.755</v>
      </c>
      <c r="D636" s="10" t="n">
        <f aca="false">A636/$D$4</f>
        <v>35</v>
      </c>
      <c r="E636" s="11" t="n">
        <f aca="false">D636*'Karnataka Fuel Rates'!$C$9</f>
        <v>3474.275</v>
      </c>
    </row>
    <row r="637" customFormat="false" ht="15" hidden="false" customHeight="true" outlineLevel="0" collapsed="false">
      <c r="A637" s="1" t="n">
        <v>631</v>
      </c>
      <c r="B637" s="10" t="n">
        <f aca="false">A637/$B$4</f>
        <v>42.0666666666667</v>
      </c>
      <c r="C637" s="11" t="n">
        <f aca="false">B637*'Karnataka Fuel Rates'!$B$9</f>
        <v>4683.17683333333</v>
      </c>
      <c r="D637" s="10" t="n">
        <f aca="false">A637/$D$4</f>
        <v>35.0555555555556</v>
      </c>
      <c r="E637" s="11" t="n">
        <f aca="false">D637*'Karnataka Fuel Rates'!$C$9</f>
        <v>3479.78972222222</v>
      </c>
    </row>
    <row r="638" customFormat="false" ht="15" hidden="false" customHeight="true" outlineLevel="0" collapsed="false">
      <c r="A638" s="1" t="n">
        <v>632</v>
      </c>
      <c r="B638" s="10" t="n">
        <f aca="false">A638/$B$4</f>
        <v>42.1333333333333</v>
      </c>
      <c r="C638" s="11" t="n">
        <f aca="false">B638*'Karnataka Fuel Rates'!$B$9</f>
        <v>4690.59866666667</v>
      </c>
      <c r="D638" s="10" t="n">
        <f aca="false">A638/$D$4</f>
        <v>35.1111111111111</v>
      </c>
      <c r="E638" s="11" t="n">
        <f aca="false">D638*'Karnataka Fuel Rates'!$C$9</f>
        <v>3485.30444444445</v>
      </c>
    </row>
    <row r="639" customFormat="false" ht="15" hidden="false" customHeight="true" outlineLevel="0" collapsed="false">
      <c r="A639" s="1" t="n">
        <v>633</v>
      </c>
      <c r="B639" s="10" t="n">
        <f aca="false">A639/$B$4</f>
        <v>42.2</v>
      </c>
      <c r="C639" s="11" t="n">
        <f aca="false">B639*'Karnataka Fuel Rates'!$B$9</f>
        <v>4698.0205</v>
      </c>
      <c r="D639" s="10" t="n">
        <f aca="false">A639/$D$4</f>
        <v>35.1666666666667</v>
      </c>
      <c r="E639" s="11" t="n">
        <f aca="false">D639*'Karnataka Fuel Rates'!$C$9</f>
        <v>3490.81916666667</v>
      </c>
    </row>
    <row r="640" customFormat="false" ht="15" hidden="false" customHeight="true" outlineLevel="0" collapsed="false">
      <c r="A640" s="1" t="n">
        <v>634</v>
      </c>
      <c r="B640" s="10" t="n">
        <f aca="false">A640/$B$4</f>
        <v>42.2666666666667</v>
      </c>
      <c r="C640" s="11" t="n">
        <f aca="false">B640*'Karnataka Fuel Rates'!$B$9</f>
        <v>4705.44233333333</v>
      </c>
      <c r="D640" s="10" t="n">
        <f aca="false">A640/$D$4</f>
        <v>35.2222222222222</v>
      </c>
      <c r="E640" s="11" t="n">
        <f aca="false">D640*'Karnataka Fuel Rates'!$C$9</f>
        <v>3496.33388888889</v>
      </c>
    </row>
    <row r="641" customFormat="false" ht="15" hidden="false" customHeight="true" outlineLevel="0" collapsed="false">
      <c r="A641" s="1" t="n">
        <v>635</v>
      </c>
      <c r="B641" s="10" t="n">
        <f aca="false">A641/$B$4</f>
        <v>42.3333333333333</v>
      </c>
      <c r="C641" s="11" t="n">
        <f aca="false">B641*'Karnataka Fuel Rates'!$B$9</f>
        <v>4712.86416666667</v>
      </c>
      <c r="D641" s="10" t="n">
        <f aca="false">A641/$D$4</f>
        <v>35.2777777777778</v>
      </c>
      <c r="E641" s="11" t="n">
        <f aca="false">D641*'Karnataka Fuel Rates'!$C$9</f>
        <v>3501.84861111111</v>
      </c>
    </row>
    <row r="642" customFormat="false" ht="15" hidden="false" customHeight="true" outlineLevel="0" collapsed="false">
      <c r="A642" s="1" t="n">
        <v>636</v>
      </c>
      <c r="B642" s="10" t="n">
        <f aca="false">A642/$B$4</f>
        <v>42.4</v>
      </c>
      <c r="C642" s="11" t="n">
        <f aca="false">B642*'Karnataka Fuel Rates'!$B$9</f>
        <v>4720.286</v>
      </c>
      <c r="D642" s="10" t="n">
        <f aca="false">A642/$D$4</f>
        <v>35.3333333333333</v>
      </c>
      <c r="E642" s="11" t="n">
        <f aca="false">D642*'Karnataka Fuel Rates'!$C$9</f>
        <v>3507.36333333333</v>
      </c>
    </row>
    <row r="643" customFormat="false" ht="15" hidden="false" customHeight="true" outlineLevel="0" collapsed="false">
      <c r="A643" s="1" t="n">
        <v>637</v>
      </c>
      <c r="B643" s="10" t="n">
        <f aca="false">A643/$B$4</f>
        <v>42.4666666666667</v>
      </c>
      <c r="C643" s="11" t="n">
        <f aca="false">B643*'Karnataka Fuel Rates'!$B$9</f>
        <v>4727.70783333333</v>
      </c>
      <c r="D643" s="10" t="n">
        <f aca="false">A643/$D$4</f>
        <v>35.3888888888889</v>
      </c>
      <c r="E643" s="11" t="n">
        <f aca="false">D643*'Karnataka Fuel Rates'!$C$9</f>
        <v>3512.87805555556</v>
      </c>
    </row>
    <row r="644" customFormat="false" ht="15" hidden="false" customHeight="true" outlineLevel="0" collapsed="false">
      <c r="A644" s="1" t="n">
        <v>638</v>
      </c>
      <c r="B644" s="10" t="n">
        <f aca="false">A644/$B$4</f>
        <v>42.5333333333333</v>
      </c>
      <c r="C644" s="11" t="n">
        <f aca="false">B644*'Karnataka Fuel Rates'!$B$9</f>
        <v>4735.12966666667</v>
      </c>
      <c r="D644" s="10" t="n">
        <f aca="false">A644/$D$4</f>
        <v>35.4444444444444</v>
      </c>
      <c r="E644" s="11" t="n">
        <f aca="false">D644*'Karnataka Fuel Rates'!$C$9</f>
        <v>3518.39277777778</v>
      </c>
    </row>
    <row r="645" customFormat="false" ht="15" hidden="false" customHeight="true" outlineLevel="0" collapsed="false">
      <c r="A645" s="1" t="n">
        <v>639</v>
      </c>
      <c r="B645" s="10" t="n">
        <f aca="false">A645/$B$4</f>
        <v>42.6</v>
      </c>
      <c r="C645" s="11" t="n">
        <f aca="false">B645*'Karnataka Fuel Rates'!$B$9</f>
        <v>4742.5515</v>
      </c>
      <c r="D645" s="10" t="n">
        <f aca="false">A645/$D$4</f>
        <v>35.5</v>
      </c>
      <c r="E645" s="11" t="n">
        <f aca="false">D645*'Karnataka Fuel Rates'!$C$9</f>
        <v>3523.9075</v>
      </c>
    </row>
    <row r="646" customFormat="false" ht="15" hidden="false" customHeight="true" outlineLevel="0" collapsed="false">
      <c r="A646" s="1" t="n">
        <v>640</v>
      </c>
      <c r="B646" s="10" t="n">
        <f aca="false">A646/$B$4</f>
        <v>42.6666666666667</v>
      </c>
      <c r="C646" s="11" t="n">
        <f aca="false">B646*'Karnataka Fuel Rates'!$B$9</f>
        <v>4749.97333333333</v>
      </c>
      <c r="D646" s="10" t="n">
        <f aca="false">A646/$D$4</f>
        <v>35.5555555555556</v>
      </c>
      <c r="E646" s="11" t="n">
        <f aca="false">D646*'Karnataka Fuel Rates'!$C$9</f>
        <v>3529.42222222222</v>
      </c>
    </row>
    <row r="647" customFormat="false" ht="15" hidden="false" customHeight="true" outlineLevel="0" collapsed="false">
      <c r="A647" s="1" t="n">
        <v>641</v>
      </c>
      <c r="B647" s="10" t="n">
        <f aca="false">A647/$B$4</f>
        <v>42.7333333333333</v>
      </c>
      <c r="C647" s="11" t="n">
        <f aca="false">B647*'Karnataka Fuel Rates'!$B$9</f>
        <v>4757.39516666667</v>
      </c>
      <c r="D647" s="10" t="n">
        <f aca="false">A647/$D$4</f>
        <v>35.6111111111111</v>
      </c>
      <c r="E647" s="11" t="n">
        <f aca="false">D647*'Karnataka Fuel Rates'!$C$9</f>
        <v>3534.93694444444</v>
      </c>
    </row>
    <row r="648" customFormat="false" ht="15" hidden="false" customHeight="true" outlineLevel="0" collapsed="false">
      <c r="A648" s="1" t="n">
        <v>642</v>
      </c>
      <c r="B648" s="10" t="n">
        <f aca="false">A648/$B$4</f>
        <v>42.8</v>
      </c>
      <c r="C648" s="11" t="n">
        <f aca="false">B648*'Karnataka Fuel Rates'!$B$9</f>
        <v>4764.817</v>
      </c>
      <c r="D648" s="10" t="n">
        <f aca="false">A648/$D$4</f>
        <v>35.6666666666667</v>
      </c>
      <c r="E648" s="11" t="n">
        <f aca="false">D648*'Karnataka Fuel Rates'!$C$9</f>
        <v>3540.45166666667</v>
      </c>
    </row>
    <row r="649" customFormat="false" ht="15" hidden="false" customHeight="true" outlineLevel="0" collapsed="false">
      <c r="A649" s="1" t="n">
        <v>643</v>
      </c>
      <c r="B649" s="10" t="n">
        <f aca="false">A649/$B$4</f>
        <v>42.8666666666667</v>
      </c>
      <c r="C649" s="11" t="n">
        <f aca="false">B649*'Karnataka Fuel Rates'!$B$9</f>
        <v>4772.23883333333</v>
      </c>
      <c r="D649" s="10" t="n">
        <f aca="false">A649/$D$4</f>
        <v>35.7222222222222</v>
      </c>
      <c r="E649" s="11" t="n">
        <f aca="false">D649*'Karnataka Fuel Rates'!$C$9</f>
        <v>3545.96638888889</v>
      </c>
    </row>
    <row r="650" customFormat="false" ht="15" hidden="false" customHeight="true" outlineLevel="0" collapsed="false">
      <c r="A650" s="1" t="n">
        <v>644</v>
      </c>
      <c r="B650" s="10" t="n">
        <f aca="false">A650/$B$4</f>
        <v>42.9333333333333</v>
      </c>
      <c r="C650" s="11" t="n">
        <f aca="false">B650*'Karnataka Fuel Rates'!$B$9</f>
        <v>4779.66066666667</v>
      </c>
      <c r="D650" s="10" t="n">
        <f aca="false">A650/$D$4</f>
        <v>35.7777777777778</v>
      </c>
      <c r="E650" s="11" t="n">
        <f aca="false">D650*'Karnataka Fuel Rates'!$C$9</f>
        <v>3551.48111111111</v>
      </c>
    </row>
    <row r="651" customFormat="false" ht="15" hidden="false" customHeight="true" outlineLevel="0" collapsed="false">
      <c r="A651" s="1" t="n">
        <v>645</v>
      </c>
      <c r="B651" s="10" t="n">
        <f aca="false">A651/$B$4</f>
        <v>43</v>
      </c>
      <c r="C651" s="11" t="n">
        <f aca="false">B651*'Karnataka Fuel Rates'!$B$9</f>
        <v>4787.0825</v>
      </c>
      <c r="D651" s="10" t="n">
        <f aca="false">A651/$D$4</f>
        <v>35.8333333333333</v>
      </c>
      <c r="E651" s="11" t="n">
        <f aca="false">D651*'Karnataka Fuel Rates'!$C$9</f>
        <v>3556.99583333333</v>
      </c>
    </row>
    <row r="652" customFormat="false" ht="15" hidden="false" customHeight="true" outlineLevel="0" collapsed="false">
      <c r="A652" s="1" t="n">
        <v>646</v>
      </c>
      <c r="B652" s="10" t="n">
        <f aca="false">A652/$B$4</f>
        <v>43.0666666666667</v>
      </c>
      <c r="C652" s="11" t="n">
        <f aca="false">B652*'Karnataka Fuel Rates'!$B$9</f>
        <v>4794.50433333333</v>
      </c>
      <c r="D652" s="10" t="n">
        <f aca="false">A652/$D$4</f>
        <v>35.8888888888889</v>
      </c>
      <c r="E652" s="11" t="n">
        <f aca="false">D652*'Karnataka Fuel Rates'!$C$9</f>
        <v>3562.51055555556</v>
      </c>
    </row>
    <row r="653" customFormat="false" ht="15" hidden="false" customHeight="true" outlineLevel="0" collapsed="false">
      <c r="A653" s="1" t="n">
        <v>647</v>
      </c>
      <c r="B653" s="10" t="n">
        <f aca="false">A653/$B$4</f>
        <v>43.1333333333333</v>
      </c>
      <c r="C653" s="11" t="n">
        <f aca="false">B653*'Karnataka Fuel Rates'!$B$9</f>
        <v>4801.92616666667</v>
      </c>
      <c r="D653" s="10" t="n">
        <f aca="false">A653/$D$4</f>
        <v>35.9444444444444</v>
      </c>
      <c r="E653" s="11" t="n">
        <f aca="false">D653*'Karnataka Fuel Rates'!$C$9</f>
        <v>3568.02527777778</v>
      </c>
    </row>
    <row r="654" customFormat="false" ht="15" hidden="false" customHeight="true" outlineLevel="0" collapsed="false">
      <c r="A654" s="1" t="n">
        <v>648</v>
      </c>
      <c r="B654" s="10" t="n">
        <f aca="false">A654/$B$4</f>
        <v>43.2</v>
      </c>
      <c r="C654" s="11" t="n">
        <f aca="false">B654*'Karnataka Fuel Rates'!$B$9</f>
        <v>4809.348</v>
      </c>
      <c r="D654" s="10" t="n">
        <f aca="false">A654/$D$4</f>
        <v>36</v>
      </c>
      <c r="E654" s="11" t="n">
        <f aca="false">D654*'Karnataka Fuel Rates'!$C$9</f>
        <v>3573.54</v>
      </c>
    </row>
    <row r="655" customFormat="false" ht="15" hidden="false" customHeight="true" outlineLevel="0" collapsed="false">
      <c r="A655" s="1" t="n">
        <v>649</v>
      </c>
      <c r="B655" s="10" t="n">
        <f aca="false">A655/$B$4</f>
        <v>43.2666666666667</v>
      </c>
      <c r="C655" s="11" t="n">
        <f aca="false">B655*'Karnataka Fuel Rates'!$B$9</f>
        <v>4816.76983333333</v>
      </c>
      <c r="D655" s="10" t="n">
        <f aca="false">A655/$D$4</f>
        <v>36.0555555555556</v>
      </c>
      <c r="E655" s="11" t="n">
        <f aca="false">D655*'Karnataka Fuel Rates'!$C$9</f>
        <v>3579.05472222222</v>
      </c>
    </row>
    <row r="656" customFormat="false" ht="15" hidden="false" customHeight="true" outlineLevel="0" collapsed="false">
      <c r="A656" s="1" t="n">
        <v>650</v>
      </c>
      <c r="B656" s="10" t="n">
        <f aca="false">A656/$B$4</f>
        <v>43.3333333333333</v>
      </c>
      <c r="C656" s="11" t="n">
        <f aca="false">B656*'Karnataka Fuel Rates'!$B$9</f>
        <v>4824.19166666667</v>
      </c>
      <c r="D656" s="10" t="n">
        <f aca="false">A656/$D$4</f>
        <v>36.1111111111111</v>
      </c>
      <c r="E656" s="11" t="n">
        <f aca="false">D656*'Karnataka Fuel Rates'!$C$9</f>
        <v>3584.56944444445</v>
      </c>
    </row>
    <row r="657" customFormat="false" ht="15" hidden="false" customHeight="true" outlineLevel="0" collapsed="false">
      <c r="A657" s="1" t="n">
        <v>651</v>
      </c>
      <c r="B657" s="10" t="n">
        <f aca="false">A657/$B$4</f>
        <v>43.4</v>
      </c>
      <c r="C657" s="11" t="n">
        <f aca="false">B657*'Karnataka Fuel Rates'!$B$9</f>
        <v>4831.6135</v>
      </c>
      <c r="D657" s="10" t="n">
        <f aca="false">A657/$D$4</f>
        <v>36.1666666666667</v>
      </c>
      <c r="E657" s="11" t="n">
        <f aca="false">D657*'Karnataka Fuel Rates'!$C$9</f>
        <v>3590.08416666667</v>
      </c>
    </row>
    <row r="658" customFormat="false" ht="15" hidden="false" customHeight="true" outlineLevel="0" collapsed="false">
      <c r="A658" s="1" t="n">
        <v>652</v>
      </c>
      <c r="B658" s="10" t="n">
        <f aca="false">A658/$B$4</f>
        <v>43.4666666666667</v>
      </c>
      <c r="C658" s="11" t="n">
        <f aca="false">B658*'Karnataka Fuel Rates'!$B$9</f>
        <v>4839.03533333333</v>
      </c>
      <c r="D658" s="10" t="n">
        <f aca="false">A658/$D$4</f>
        <v>36.2222222222222</v>
      </c>
      <c r="E658" s="11" t="n">
        <f aca="false">D658*'Karnataka Fuel Rates'!$C$9</f>
        <v>3595.59888888889</v>
      </c>
    </row>
    <row r="659" customFormat="false" ht="15" hidden="false" customHeight="true" outlineLevel="0" collapsed="false">
      <c r="A659" s="1" t="n">
        <v>653</v>
      </c>
      <c r="B659" s="10" t="n">
        <f aca="false">A659/$B$4</f>
        <v>43.5333333333333</v>
      </c>
      <c r="C659" s="11" t="n">
        <f aca="false">B659*'Karnataka Fuel Rates'!$B$9</f>
        <v>4846.45716666667</v>
      </c>
      <c r="D659" s="10" t="n">
        <f aca="false">A659/$D$4</f>
        <v>36.2777777777778</v>
      </c>
      <c r="E659" s="11" t="n">
        <f aca="false">D659*'Karnataka Fuel Rates'!$C$9</f>
        <v>3601.11361111111</v>
      </c>
    </row>
    <row r="660" customFormat="false" ht="15" hidden="false" customHeight="true" outlineLevel="0" collapsed="false">
      <c r="A660" s="1" t="n">
        <v>654</v>
      </c>
      <c r="B660" s="10" t="n">
        <f aca="false">A660/$B$4</f>
        <v>43.6</v>
      </c>
      <c r="C660" s="11" t="n">
        <f aca="false">B660*'Karnataka Fuel Rates'!$B$9</f>
        <v>4853.879</v>
      </c>
      <c r="D660" s="10" t="n">
        <f aca="false">A660/$D$4</f>
        <v>36.3333333333333</v>
      </c>
      <c r="E660" s="11" t="n">
        <f aca="false">D660*'Karnataka Fuel Rates'!$C$9</f>
        <v>3606.62833333333</v>
      </c>
    </row>
    <row r="661" customFormat="false" ht="15" hidden="false" customHeight="true" outlineLevel="0" collapsed="false">
      <c r="A661" s="1" t="n">
        <v>655</v>
      </c>
      <c r="B661" s="10" t="n">
        <f aca="false">A661/$B$4</f>
        <v>43.6666666666667</v>
      </c>
      <c r="C661" s="11" t="n">
        <f aca="false">B661*'Karnataka Fuel Rates'!$B$9</f>
        <v>4861.30083333333</v>
      </c>
      <c r="D661" s="10" t="n">
        <f aca="false">A661/$D$4</f>
        <v>36.3888888888889</v>
      </c>
      <c r="E661" s="11" t="n">
        <f aca="false">D661*'Karnataka Fuel Rates'!$C$9</f>
        <v>3612.14305555556</v>
      </c>
    </row>
    <row r="662" customFormat="false" ht="15" hidden="false" customHeight="true" outlineLevel="0" collapsed="false">
      <c r="A662" s="1" t="n">
        <v>656</v>
      </c>
      <c r="B662" s="10" t="n">
        <f aca="false">A662/$B$4</f>
        <v>43.7333333333333</v>
      </c>
      <c r="C662" s="11" t="n">
        <f aca="false">B662*'Karnataka Fuel Rates'!$B$9</f>
        <v>4868.72266666667</v>
      </c>
      <c r="D662" s="10" t="n">
        <f aca="false">A662/$D$4</f>
        <v>36.4444444444444</v>
      </c>
      <c r="E662" s="11" t="n">
        <f aca="false">D662*'Karnataka Fuel Rates'!$C$9</f>
        <v>3617.65777777778</v>
      </c>
    </row>
    <row r="663" customFormat="false" ht="15" hidden="false" customHeight="true" outlineLevel="0" collapsed="false">
      <c r="A663" s="1" t="n">
        <v>657</v>
      </c>
      <c r="B663" s="10" t="n">
        <f aca="false">A663/$B$4</f>
        <v>43.8</v>
      </c>
      <c r="C663" s="11" t="n">
        <f aca="false">B663*'Karnataka Fuel Rates'!$B$9</f>
        <v>4876.1445</v>
      </c>
      <c r="D663" s="10" t="n">
        <f aca="false">A663/$D$4</f>
        <v>36.5</v>
      </c>
      <c r="E663" s="11" t="n">
        <f aca="false">D663*'Karnataka Fuel Rates'!$C$9</f>
        <v>3623.1725</v>
      </c>
    </row>
    <row r="664" customFormat="false" ht="15" hidden="false" customHeight="true" outlineLevel="0" collapsed="false">
      <c r="A664" s="1" t="n">
        <v>658</v>
      </c>
      <c r="B664" s="10" t="n">
        <f aca="false">A664/$B$4</f>
        <v>43.8666666666667</v>
      </c>
      <c r="C664" s="11" t="n">
        <f aca="false">B664*'Karnataka Fuel Rates'!$B$9</f>
        <v>4883.56633333333</v>
      </c>
      <c r="D664" s="10" t="n">
        <f aca="false">A664/$D$4</f>
        <v>36.5555555555556</v>
      </c>
      <c r="E664" s="11" t="n">
        <f aca="false">D664*'Karnataka Fuel Rates'!$C$9</f>
        <v>3628.68722222222</v>
      </c>
    </row>
    <row r="665" customFormat="false" ht="15" hidden="false" customHeight="true" outlineLevel="0" collapsed="false">
      <c r="A665" s="1" t="n">
        <v>659</v>
      </c>
      <c r="B665" s="10" t="n">
        <f aca="false">A665/$B$4</f>
        <v>43.9333333333333</v>
      </c>
      <c r="C665" s="11" t="n">
        <f aca="false">B665*'Karnataka Fuel Rates'!$B$9</f>
        <v>4890.98816666667</v>
      </c>
      <c r="D665" s="10" t="n">
        <f aca="false">A665/$D$4</f>
        <v>36.6111111111111</v>
      </c>
      <c r="E665" s="11" t="n">
        <f aca="false">D665*'Karnataka Fuel Rates'!$C$9</f>
        <v>3634.20194444445</v>
      </c>
    </row>
    <row r="666" customFormat="false" ht="15" hidden="false" customHeight="true" outlineLevel="0" collapsed="false">
      <c r="A666" s="1" t="n">
        <v>660</v>
      </c>
      <c r="B666" s="10" t="n">
        <f aca="false">A666/$B$4</f>
        <v>44</v>
      </c>
      <c r="C666" s="11" t="n">
        <f aca="false">B666*'Karnataka Fuel Rates'!$B$9</f>
        <v>4898.41</v>
      </c>
      <c r="D666" s="10" t="n">
        <f aca="false">A666/$D$4</f>
        <v>36.6666666666667</v>
      </c>
      <c r="E666" s="11" t="n">
        <f aca="false">D666*'Karnataka Fuel Rates'!$C$9</f>
        <v>3639.71666666667</v>
      </c>
    </row>
    <row r="667" customFormat="false" ht="15" hidden="false" customHeight="true" outlineLevel="0" collapsed="false">
      <c r="A667" s="1" t="n">
        <v>661</v>
      </c>
      <c r="B667" s="10" t="n">
        <f aca="false">A667/$B$4</f>
        <v>44.0666666666667</v>
      </c>
      <c r="C667" s="11" t="n">
        <f aca="false">B667*'Karnataka Fuel Rates'!$B$9</f>
        <v>4905.83183333333</v>
      </c>
      <c r="D667" s="10" t="n">
        <f aca="false">A667/$D$4</f>
        <v>36.7222222222222</v>
      </c>
      <c r="E667" s="11" t="n">
        <f aca="false">D667*'Karnataka Fuel Rates'!$C$9</f>
        <v>3645.23138888889</v>
      </c>
    </row>
    <row r="668" customFormat="false" ht="15" hidden="false" customHeight="true" outlineLevel="0" collapsed="false">
      <c r="A668" s="1" t="n">
        <v>662</v>
      </c>
      <c r="B668" s="10" t="n">
        <f aca="false">A668/$B$4</f>
        <v>44.1333333333333</v>
      </c>
      <c r="C668" s="11" t="n">
        <f aca="false">B668*'Karnataka Fuel Rates'!$B$9</f>
        <v>4913.25366666667</v>
      </c>
      <c r="D668" s="10" t="n">
        <f aca="false">A668/$D$4</f>
        <v>36.7777777777778</v>
      </c>
      <c r="E668" s="11" t="n">
        <f aca="false">D668*'Karnataka Fuel Rates'!$C$9</f>
        <v>3650.74611111111</v>
      </c>
    </row>
    <row r="669" customFormat="false" ht="15" hidden="false" customHeight="true" outlineLevel="0" collapsed="false">
      <c r="A669" s="1" t="n">
        <v>663</v>
      </c>
      <c r="B669" s="10" t="n">
        <f aca="false">A669/$B$4</f>
        <v>44.2</v>
      </c>
      <c r="C669" s="11" t="n">
        <f aca="false">B669*'Karnataka Fuel Rates'!$B$9</f>
        <v>4920.6755</v>
      </c>
      <c r="D669" s="10" t="n">
        <f aca="false">A669/$D$4</f>
        <v>36.8333333333333</v>
      </c>
      <c r="E669" s="11" t="n">
        <f aca="false">D669*'Karnataka Fuel Rates'!$C$9</f>
        <v>3656.26083333333</v>
      </c>
    </row>
    <row r="670" customFormat="false" ht="15" hidden="false" customHeight="true" outlineLevel="0" collapsed="false">
      <c r="A670" s="1" t="n">
        <v>664</v>
      </c>
      <c r="B670" s="10" t="n">
        <f aca="false">A670/$B$4</f>
        <v>44.2666666666667</v>
      </c>
      <c r="C670" s="11" t="n">
        <f aca="false">B670*'Karnataka Fuel Rates'!$B$9</f>
        <v>4928.09733333333</v>
      </c>
      <c r="D670" s="10" t="n">
        <f aca="false">A670/$D$4</f>
        <v>36.8888888888889</v>
      </c>
      <c r="E670" s="11" t="n">
        <f aca="false">D670*'Karnataka Fuel Rates'!$C$9</f>
        <v>3661.77555555556</v>
      </c>
    </row>
    <row r="671" customFormat="false" ht="15" hidden="false" customHeight="true" outlineLevel="0" collapsed="false">
      <c r="A671" s="1" t="n">
        <v>665</v>
      </c>
      <c r="B671" s="10" t="n">
        <f aca="false">A671/$B$4</f>
        <v>44.3333333333333</v>
      </c>
      <c r="C671" s="11" t="n">
        <f aca="false">B671*'Karnataka Fuel Rates'!$B$9</f>
        <v>4935.51916666667</v>
      </c>
      <c r="D671" s="10" t="n">
        <f aca="false">A671/$D$4</f>
        <v>36.9444444444444</v>
      </c>
      <c r="E671" s="11" t="n">
        <f aca="false">D671*'Karnataka Fuel Rates'!$C$9</f>
        <v>3667.29027777778</v>
      </c>
    </row>
    <row r="672" customFormat="false" ht="15" hidden="false" customHeight="true" outlineLevel="0" collapsed="false">
      <c r="A672" s="1" t="n">
        <v>666</v>
      </c>
      <c r="B672" s="10" t="n">
        <f aca="false">A672/$B$4</f>
        <v>44.4</v>
      </c>
      <c r="C672" s="11" t="n">
        <f aca="false">B672*'Karnataka Fuel Rates'!$B$9</f>
        <v>4942.941</v>
      </c>
      <c r="D672" s="10" t="n">
        <f aca="false">A672/$D$4</f>
        <v>37</v>
      </c>
      <c r="E672" s="11" t="n">
        <f aca="false">D672*'Karnataka Fuel Rates'!$C$9</f>
        <v>3672.805</v>
      </c>
    </row>
    <row r="673" customFormat="false" ht="15" hidden="false" customHeight="true" outlineLevel="0" collapsed="false">
      <c r="A673" s="1" t="n">
        <v>667</v>
      </c>
      <c r="B673" s="10" t="n">
        <f aca="false">A673/$B$4</f>
        <v>44.4666666666667</v>
      </c>
      <c r="C673" s="11" t="n">
        <f aca="false">B673*'Karnataka Fuel Rates'!$B$9</f>
        <v>4950.36283333333</v>
      </c>
      <c r="D673" s="10" t="n">
        <f aca="false">A673/$D$4</f>
        <v>37.0555555555556</v>
      </c>
      <c r="E673" s="11" t="n">
        <f aca="false">D673*'Karnataka Fuel Rates'!$C$9</f>
        <v>3678.31972222222</v>
      </c>
    </row>
    <row r="674" customFormat="false" ht="15" hidden="false" customHeight="true" outlineLevel="0" collapsed="false">
      <c r="A674" s="1" t="n">
        <v>668</v>
      </c>
      <c r="B674" s="10" t="n">
        <f aca="false">A674/$B$4</f>
        <v>44.5333333333333</v>
      </c>
      <c r="C674" s="11" t="n">
        <f aca="false">B674*'Karnataka Fuel Rates'!$B$9</f>
        <v>4957.78466666667</v>
      </c>
      <c r="D674" s="10" t="n">
        <f aca="false">A674/$D$4</f>
        <v>37.1111111111111</v>
      </c>
      <c r="E674" s="11" t="n">
        <f aca="false">D674*'Karnataka Fuel Rates'!$C$9</f>
        <v>3683.83444444444</v>
      </c>
    </row>
    <row r="675" customFormat="false" ht="15" hidden="false" customHeight="true" outlineLevel="0" collapsed="false">
      <c r="A675" s="1" t="n">
        <v>669</v>
      </c>
      <c r="B675" s="10" t="n">
        <f aca="false">A675/$B$4</f>
        <v>44.6</v>
      </c>
      <c r="C675" s="11" t="n">
        <f aca="false">B675*'Karnataka Fuel Rates'!$B$9</f>
        <v>4965.2065</v>
      </c>
      <c r="D675" s="10" t="n">
        <f aca="false">A675/$D$4</f>
        <v>37.1666666666667</v>
      </c>
      <c r="E675" s="11" t="n">
        <f aca="false">D675*'Karnataka Fuel Rates'!$C$9</f>
        <v>3689.34916666667</v>
      </c>
    </row>
    <row r="676" customFormat="false" ht="15" hidden="false" customHeight="true" outlineLevel="0" collapsed="false">
      <c r="A676" s="1" t="n">
        <v>670</v>
      </c>
      <c r="B676" s="10" t="n">
        <f aca="false">A676/$B$4</f>
        <v>44.6666666666667</v>
      </c>
      <c r="C676" s="11" t="n">
        <f aca="false">B676*'Karnataka Fuel Rates'!$B$9</f>
        <v>4972.62833333333</v>
      </c>
      <c r="D676" s="10" t="n">
        <f aca="false">A676/$D$4</f>
        <v>37.2222222222222</v>
      </c>
      <c r="E676" s="11" t="n">
        <f aca="false">D676*'Karnataka Fuel Rates'!$C$9</f>
        <v>3694.86388888889</v>
      </c>
    </row>
    <row r="677" customFormat="false" ht="15" hidden="false" customHeight="true" outlineLevel="0" collapsed="false">
      <c r="A677" s="1" t="n">
        <v>671</v>
      </c>
      <c r="B677" s="10" t="n">
        <f aca="false">A677/$B$4</f>
        <v>44.7333333333333</v>
      </c>
      <c r="C677" s="11" t="n">
        <f aca="false">B677*'Karnataka Fuel Rates'!$B$9</f>
        <v>4980.05016666667</v>
      </c>
      <c r="D677" s="10" t="n">
        <f aca="false">A677/$D$4</f>
        <v>37.2777777777778</v>
      </c>
      <c r="E677" s="11" t="n">
        <f aca="false">D677*'Karnataka Fuel Rates'!$C$9</f>
        <v>3700.37861111111</v>
      </c>
    </row>
    <row r="678" customFormat="false" ht="15" hidden="false" customHeight="true" outlineLevel="0" collapsed="false">
      <c r="A678" s="1" t="n">
        <v>672</v>
      </c>
      <c r="B678" s="10" t="n">
        <f aca="false">A678/$B$4</f>
        <v>44.8</v>
      </c>
      <c r="C678" s="11" t="n">
        <f aca="false">B678*'Karnataka Fuel Rates'!$B$9</f>
        <v>4987.472</v>
      </c>
      <c r="D678" s="10" t="n">
        <f aca="false">A678/$D$4</f>
        <v>37.3333333333333</v>
      </c>
      <c r="E678" s="11" t="n">
        <f aca="false">D678*'Karnataka Fuel Rates'!$C$9</f>
        <v>3705.89333333333</v>
      </c>
    </row>
    <row r="679" customFormat="false" ht="15" hidden="false" customHeight="true" outlineLevel="0" collapsed="false">
      <c r="A679" s="1" t="n">
        <v>673</v>
      </c>
      <c r="B679" s="10" t="n">
        <f aca="false">A679/$B$4</f>
        <v>44.8666666666667</v>
      </c>
      <c r="C679" s="11" t="n">
        <f aca="false">B679*'Karnataka Fuel Rates'!$B$9</f>
        <v>4994.89383333333</v>
      </c>
      <c r="D679" s="10" t="n">
        <f aca="false">A679/$D$4</f>
        <v>37.3888888888889</v>
      </c>
      <c r="E679" s="11" t="n">
        <f aca="false">D679*'Karnataka Fuel Rates'!$C$9</f>
        <v>3711.40805555556</v>
      </c>
    </row>
    <row r="680" customFormat="false" ht="15" hidden="false" customHeight="true" outlineLevel="0" collapsed="false">
      <c r="A680" s="1" t="n">
        <v>674</v>
      </c>
      <c r="B680" s="10" t="n">
        <f aca="false">A680/$B$4</f>
        <v>44.9333333333333</v>
      </c>
      <c r="C680" s="11" t="n">
        <f aca="false">B680*'Karnataka Fuel Rates'!$B$9</f>
        <v>5002.31566666667</v>
      </c>
      <c r="D680" s="10" t="n">
        <f aca="false">A680/$D$4</f>
        <v>37.4444444444444</v>
      </c>
      <c r="E680" s="11" t="n">
        <f aca="false">D680*'Karnataka Fuel Rates'!$C$9</f>
        <v>3716.92277777778</v>
      </c>
    </row>
    <row r="681" customFormat="false" ht="15" hidden="false" customHeight="true" outlineLevel="0" collapsed="false">
      <c r="A681" s="1" t="n">
        <v>675</v>
      </c>
      <c r="B681" s="10" t="n">
        <f aca="false">A681/$B$4</f>
        <v>45</v>
      </c>
      <c r="C681" s="11" t="n">
        <f aca="false">B681*'Karnataka Fuel Rates'!$B$9</f>
        <v>5009.7375</v>
      </c>
      <c r="D681" s="10" t="n">
        <f aca="false">A681/$D$4</f>
        <v>37.5</v>
      </c>
      <c r="E681" s="11" t="n">
        <f aca="false">D681*'Karnataka Fuel Rates'!$C$9</f>
        <v>3722.4375</v>
      </c>
    </row>
    <row r="682" customFormat="false" ht="15" hidden="false" customHeight="true" outlineLevel="0" collapsed="false">
      <c r="A682" s="1" t="n">
        <v>676</v>
      </c>
      <c r="B682" s="10" t="n">
        <f aca="false">A682/$B$4</f>
        <v>45.0666666666667</v>
      </c>
      <c r="C682" s="11" t="n">
        <f aca="false">B682*'Karnataka Fuel Rates'!$B$9</f>
        <v>5017.15933333333</v>
      </c>
      <c r="D682" s="10" t="n">
        <f aca="false">A682/$D$4</f>
        <v>37.5555555555556</v>
      </c>
      <c r="E682" s="11" t="n">
        <f aca="false">D682*'Karnataka Fuel Rates'!$C$9</f>
        <v>3727.95222222222</v>
      </c>
    </row>
    <row r="683" customFormat="false" ht="15" hidden="false" customHeight="true" outlineLevel="0" collapsed="false">
      <c r="A683" s="1" t="n">
        <v>677</v>
      </c>
      <c r="B683" s="10" t="n">
        <f aca="false">A683/$B$4</f>
        <v>45.1333333333333</v>
      </c>
      <c r="C683" s="11" t="n">
        <f aca="false">B683*'Karnataka Fuel Rates'!$B$9</f>
        <v>5024.58116666667</v>
      </c>
      <c r="D683" s="10" t="n">
        <f aca="false">A683/$D$4</f>
        <v>37.6111111111111</v>
      </c>
      <c r="E683" s="11" t="n">
        <f aca="false">D683*'Karnataka Fuel Rates'!$C$9</f>
        <v>3733.46694444445</v>
      </c>
    </row>
    <row r="684" customFormat="false" ht="15" hidden="false" customHeight="true" outlineLevel="0" collapsed="false">
      <c r="A684" s="1" t="n">
        <v>678</v>
      </c>
      <c r="B684" s="10" t="n">
        <f aca="false">A684/$B$4</f>
        <v>45.2</v>
      </c>
      <c r="C684" s="11" t="n">
        <f aca="false">B684*'Karnataka Fuel Rates'!$B$9</f>
        <v>5032.003</v>
      </c>
      <c r="D684" s="10" t="n">
        <f aca="false">A684/$D$4</f>
        <v>37.6666666666667</v>
      </c>
      <c r="E684" s="11" t="n">
        <f aca="false">D684*'Karnataka Fuel Rates'!$C$9</f>
        <v>3738.98166666667</v>
      </c>
    </row>
    <row r="685" customFormat="false" ht="15" hidden="false" customHeight="true" outlineLevel="0" collapsed="false">
      <c r="A685" s="1" t="n">
        <v>679</v>
      </c>
      <c r="B685" s="10" t="n">
        <f aca="false">A685/$B$4</f>
        <v>45.2666666666667</v>
      </c>
      <c r="C685" s="11" t="n">
        <f aca="false">B685*'Karnataka Fuel Rates'!$B$9</f>
        <v>5039.42483333333</v>
      </c>
      <c r="D685" s="10" t="n">
        <f aca="false">A685/$D$4</f>
        <v>37.7222222222222</v>
      </c>
      <c r="E685" s="11" t="n">
        <f aca="false">D685*'Karnataka Fuel Rates'!$C$9</f>
        <v>3744.49638888889</v>
      </c>
    </row>
    <row r="686" customFormat="false" ht="15" hidden="false" customHeight="true" outlineLevel="0" collapsed="false">
      <c r="A686" s="1" t="n">
        <v>680</v>
      </c>
      <c r="B686" s="10" t="n">
        <f aca="false">A686/$B$4</f>
        <v>45.3333333333333</v>
      </c>
      <c r="C686" s="11" t="n">
        <f aca="false">B686*'Karnataka Fuel Rates'!$B$9</f>
        <v>5046.84666666667</v>
      </c>
      <c r="D686" s="10" t="n">
        <f aca="false">A686/$D$4</f>
        <v>37.7777777777778</v>
      </c>
      <c r="E686" s="11" t="n">
        <f aca="false">D686*'Karnataka Fuel Rates'!$C$9</f>
        <v>3750.01111111111</v>
      </c>
    </row>
    <row r="687" customFormat="false" ht="15" hidden="false" customHeight="true" outlineLevel="0" collapsed="false">
      <c r="A687" s="1" t="n">
        <v>681</v>
      </c>
      <c r="B687" s="10" t="n">
        <f aca="false">A687/$B$4</f>
        <v>45.4</v>
      </c>
      <c r="C687" s="11" t="n">
        <f aca="false">B687*'Karnataka Fuel Rates'!$B$9</f>
        <v>5054.2685</v>
      </c>
      <c r="D687" s="10" t="n">
        <f aca="false">A687/$D$4</f>
        <v>37.8333333333333</v>
      </c>
      <c r="E687" s="11" t="n">
        <f aca="false">D687*'Karnataka Fuel Rates'!$C$9</f>
        <v>3755.52583333333</v>
      </c>
    </row>
    <row r="688" customFormat="false" ht="15" hidden="false" customHeight="true" outlineLevel="0" collapsed="false">
      <c r="A688" s="1" t="n">
        <v>682</v>
      </c>
      <c r="B688" s="10" t="n">
        <f aca="false">A688/$B$4</f>
        <v>45.4666666666667</v>
      </c>
      <c r="C688" s="11" t="n">
        <f aca="false">B688*'Karnataka Fuel Rates'!$B$9</f>
        <v>5061.69033333333</v>
      </c>
      <c r="D688" s="10" t="n">
        <f aca="false">A688/$D$4</f>
        <v>37.8888888888889</v>
      </c>
      <c r="E688" s="11" t="n">
        <f aca="false">D688*'Karnataka Fuel Rates'!$C$9</f>
        <v>3761.04055555556</v>
      </c>
    </row>
    <row r="689" customFormat="false" ht="15" hidden="false" customHeight="true" outlineLevel="0" collapsed="false">
      <c r="A689" s="1" t="n">
        <v>683</v>
      </c>
      <c r="B689" s="10" t="n">
        <f aca="false">A689/$B$4</f>
        <v>45.5333333333333</v>
      </c>
      <c r="C689" s="11" t="n">
        <f aca="false">B689*'Karnataka Fuel Rates'!$B$9</f>
        <v>5069.11216666667</v>
      </c>
      <c r="D689" s="10" t="n">
        <f aca="false">A689/$D$4</f>
        <v>37.9444444444444</v>
      </c>
      <c r="E689" s="11" t="n">
        <f aca="false">D689*'Karnataka Fuel Rates'!$C$9</f>
        <v>3766.55527777778</v>
      </c>
    </row>
    <row r="690" customFormat="false" ht="15" hidden="false" customHeight="true" outlineLevel="0" collapsed="false">
      <c r="A690" s="1" t="n">
        <v>684</v>
      </c>
      <c r="B690" s="10" t="n">
        <f aca="false">A690/$B$4</f>
        <v>45.6</v>
      </c>
      <c r="C690" s="11" t="n">
        <f aca="false">B690*'Karnataka Fuel Rates'!$B$9</f>
        <v>5076.534</v>
      </c>
      <c r="D690" s="10" t="n">
        <f aca="false">A690/$D$4</f>
        <v>38</v>
      </c>
      <c r="E690" s="11" t="n">
        <f aca="false">D690*'Karnataka Fuel Rates'!$C$9</f>
        <v>3772.07</v>
      </c>
    </row>
    <row r="691" customFormat="false" ht="15" hidden="false" customHeight="true" outlineLevel="0" collapsed="false">
      <c r="A691" s="1" t="n">
        <v>685</v>
      </c>
      <c r="B691" s="10" t="n">
        <f aca="false">A691/$B$4</f>
        <v>45.6666666666667</v>
      </c>
      <c r="C691" s="11" t="n">
        <f aca="false">B691*'Karnataka Fuel Rates'!$B$9</f>
        <v>5083.95583333333</v>
      </c>
      <c r="D691" s="10" t="n">
        <f aca="false">A691/$D$4</f>
        <v>38.0555555555556</v>
      </c>
      <c r="E691" s="11" t="n">
        <f aca="false">D691*'Karnataka Fuel Rates'!$C$9</f>
        <v>3777.58472222222</v>
      </c>
    </row>
    <row r="692" customFormat="false" ht="15" hidden="false" customHeight="true" outlineLevel="0" collapsed="false">
      <c r="A692" s="1" t="n">
        <v>686</v>
      </c>
      <c r="B692" s="10" t="n">
        <f aca="false">A692/$B$4</f>
        <v>45.7333333333333</v>
      </c>
      <c r="C692" s="11" t="n">
        <f aca="false">B692*'Karnataka Fuel Rates'!$B$9</f>
        <v>5091.37766666667</v>
      </c>
      <c r="D692" s="10" t="n">
        <f aca="false">A692/$D$4</f>
        <v>38.1111111111111</v>
      </c>
      <c r="E692" s="11" t="n">
        <f aca="false">D692*'Karnataka Fuel Rates'!$C$9</f>
        <v>3783.09944444445</v>
      </c>
    </row>
    <row r="693" customFormat="false" ht="15" hidden="false" customHeight="true" outlineLevel="0" collapsed="false">
      <c r="A693" s="1" t="n">
        <v>687</v>
      </c>
      <c r="B693" s="10" t="n">
        <f aca="false">A693/$B$4</f>
        <v>45.8</v>
      </c>
      <c r="C693" s="11" t="n">
        <f aca="false">B693*'Karnataka Fuel Rates'!$B$9</f>
        <v>5098.7995</v>
      </c>
      <c r="D693" s="10" t="n">
        <f aca="false">A693/$D$4</f>
        <v>38.1666666666667</v>
      </c>
      <c r="E693" s="11" t="n">
        <f aca="false">D693*'Karnataka Fuel Rates'!$C$9</f>
        <v>3788.61416666667</v>
      </c>
    </row>
    <row r="694" customFormat="false" ht="15" hidden="false" customHeight="true" outlineLevel="0" collapsed="false">
      <c r="A694" s="1" t="n">
        <v>688</v>
      </c>
      <c r="B694" s="10" t="n">
        <f aca="false">A694/$B$4</f>
        <v>45.8666666666667</v>
      </c>
      <c r="C694" s="11" t="n">
        <f aca="false">B694*'Karnataka Fuel Rates'!$B$9</f>
        <v>5106.22133333333</v>
      </c>
      <c r="D694" s="10" t="n">
        <f aca="false">A694/$D$4</f>
        <v>38.2222222222222</v>
      </c>
      <c r="E694" s="11" t="n">
        <f aca="false">D694*'Karnataka Fuel Rates'!$C$9</f>
        <v>3794.12888888889</v>
      </c>
    </row>
    <row r="695" customFormat="false" ht="15" hidden="false" customHeight="true" outlineLevel="0" collapsed="false">
      <c r="A695" s="1" t="n">
        <v>689</v>
      </c>
      <c r="B695" s="10" t="n">
        <f aca="false">A695/$B$4</f>
        <v>45.9333333333333</v>
      </c>
      <c r="C695" s="11" t="n">
        <f aca="false">B695*'Karnataka Fuel Rates'!$B$9</f>
        <v>5113.64316666667</v>
      </c>
      <c r="D695" s="10" t="n">
        <f aca="false">A695/$D$4</f>
        <v>38.2777777777778</v>
      </c>
      <c r="E695" s="11" t="n">
        <f aca="false">D695*'Karnataka Fuel Rates'!$C$9</f>
        <v>3799.64361111111</v>
      </c>
    </row>
    <row r="696" customFormat="false" ht="15" hidden="false" customHeight="true" outlineLevel="0" collapsed="false">
      <c r="A696" s="1" t="n">
        <v>690</v>
      </c>
      <c r="B696" s="10" t="n">
        <f aca="false">A696/$B$4</f>
        <v>46</v>
      </c>
      <c r="C696" s="11" t="n">
        <f aca="false">B696*'Karnataka Fuel Rates'!$B$9</f>
        <v>5121.065</v>
      </c>
      <c r="D696" s="10" t="n">
        <f aca="false">A696/$D$4</f>
        <v>38.3333333333333</v>
      </c>
      <c r="E696" s="11" t="n">
        <f aca="false">D696*'Karnataka Fuel Rates'!$C$9</f>
        <v>3805.15833333333</v>
      </c>
    </row>
    <row r="697" customFormat="false" ht="15" hidden="false" customHeight="true" outlineLevel="0" collapsed="false">
      <c r="A697" s="1" t="n">
        <v>691</v>
      </c>
      <c r="B697" s="10" t="n">
        <f aca="false">A697/$B$4</f>
        <v>46.0666666666667</v>
      </c>
      <c r="C697" s="11" t="n">
        <f aca="false">B697*'Karnataka Fuel Rates'!$B$9</f>
        <v>5128.48683333333</v>
      </c>
      <c r="D697" s="10" t="n">
        <f aca="false">A697/$D$4</f>
        <v>38.3888888888889</v>
      </c>
      <c r="E697" s="11" t="n">
        <f aca="false">D697*'Karnataka Fuel Rates'!$C$9</f>
        <v>3810.67305555556</v>
      </c>
    </row>
    <row r="698" customFormat="false" ht="15" hidden="false" customHeight="true" outlineLevel="0" collapsed="false">
      <c r="A698" s="1" t="n">
        <v>692</v>
      </c>
      <c r="B698" s="10" t="n">
        <f aca="false">A698/$B$4</f>
        <v>46.1333333333333</v>
      </c>
      <c r="C698" s="11" t="n">
        <f aca="false">B698*'Karnataka Fuel Rates'!$B$9</f>
        <v>5135.90866666667</v>
      </c>
      <c r="D698" s="10" t="n">
        <f aca="false">A698/$D$4</f>
        <v>38.4444444444444</v>
      </c>
      <c r="E698" s="11" t="n">
        <f aca="false">D698*'Karnataka Fuel Rates'!$C$9</f>
        <v>3816.18777777778</v>
      </c>
    </row>
    <row r="699" customFormat="false" ht="15" hidden="false" customHeight="true" outlineLevel="0" collapsed="false">
      <c r="A699" s="1" t="n">
        <v>693</v>
      </c>
      <c r="B699" s="10" t="n">
        <f aca="false">A699/$B$4</f>
        <v>46.2</v>
      </c>
      <c r="C699" s="11" t="n">
        <f aca="false">B699*'Karnataka Fuel Rates'!$B$9</f>
        <v>5143.3305</v>
      </c>
      <c r="D699" s="10" t="n">
        <f aca="false">A699/$D$4</f>
        <v>38.5</v>
      </c>
      <c r="E699" s="11" t="n">
        <f aca="false">D699*'Karnataka Fuel Rates'!$C$9</f>
        <v>3821.7025</v>
      </c>
    </row>
    <row r="700" customFormat="false" ht="15" hidden="false" customHeight="true" outlineLevel="0" collapsed="false">
      <c r="A700" s="1" t="n">
        <v>694</v>
      </c>
      <c r="B700" s="10" t="n">
        <f aca="false">A700/$B$4</f>
        <v>46.2666666666667</v>
      </c>
      <c r="C700" s="11" t="n">
        <f aca="false">B700*'Karnataka Fuel Rates'!$B$9</f>
        <v>5150.75233333333</v>
      </c>
      <c r="D700" s="10" t="n">
        <f aca="false">A700/$D$4</f>
        <v>38.5555555555556</v>
      </c>
      <c r="E700" s="11" t="n">
        <f aca="false">D700*'Karnataka Fuel Rates'!$C$9</f>
        <v>3827.21722222222</v>
      </c>
    </row>
    <row r="701" customFormat="false" ht="15" hidden="false" customHeight="true" outlineLevel="0" collapsed="false">
      <c r="A701" s="1" t="n">
        <v>695</v>
      </c>
      <c r="B701" s="10" t="n">
        <f aca="false">A701/$B$4</f>
        <v>46.3333333333333</v>
      </c>
      <c r="C701" s="11" t="n">
        <f aca="false">B701*'Karnataka Fuel Rates'!$B$9</f>
        <v>5158.17416666667</v>
      </c>
      <c r="D701" s="10" t="n">
        <f aca="false">A701/$D$4</f>
        <v>38.6111111111111</v>
      </c>
      <c r="E701" s="11" t="n">
        <f aca="false">D701*'Karnataka Fuel Rates'!$C$9</f>
        <v>3832.73194444444</v>
      </c>
    </row>
    <row r="702" customFormat="false" ht="15" hidden="false" customHeight="true" outlineLevel="0" collapsed="false">
      <c r="A702" s="1" t="n">
        <v>696</v>
      </c>
      <c r="B702" s="10" t="n">
        <f aca="false">A702/$B$4</f>
        <v>46.4</v>
      </c>
      <c r="C702" s="11" t="n">
        <f aca="false">B702*'Karnataka Fuel Rates'!$B$9</f>
        <v>5165.596</v>
      </c>
      <c r="D702" s="10" t="n">
        <f aca="false">A702/$D$4</f>
        <v>38.6666666666667</v>
      </c>
      <c r="E702" s="11" t="n">
        <f aca="false">D702*'Karnataka Fuel Rates'!$C$9</f>
        <v>3838.24666666667</v>
      </c>
    </row>
    <row r="703" customFormat="false" ht="15" hidden="false" customHeight="true" outlineLevel="0" collapsed="false">
      <c r="A703" s="1" t="n">
        <v>697</v>
      </c>
      <c r="B703" s="10" t="n">
        <f aca="false">A703/$B$4</f>
        <v>46.4666666666667</v>
      </c>
      <c r="C703" s="11" t="n">
        <f aca="false">B703*'Karnataka Fuel Rates'!$B$9</f>
        <v>5173.01783333333</v>
      </c>
      <c r="D703" s="10" t="n">
        <f aca="false">A703/$D$4</f>
        <v>38.7222222222222</v>
      </c>
      <c r="E703" s="11" t="n">
        <f aca="false">D703*'Karnataka Fuel Rates'!$C$9</f>
        <v>3843.76138888889</v>
      </c>
    </row>
    <row r="704" customFormat="false" ht="15" hidden="false" customHeight="true" outlineLevel="0" collapsed="false">
      <c r="A704" s="1" t="n">
        <v>698</v>
      </c>
      <c r="B704" s="10" t="n">
        <f aca="false">A704/$B$4</f>
        <v>46.5333333333333</v>
      </c>
      <c r="C704" s="11" t="n">
        <f aca="false">B704*'Karnataka Fuel Rates'!$B$9</f>
        <v>5180.43966666667</v>
      </c>
      <c r="D704" s="10" t="n">
        <f aca="false">A704/$D$4</f>
        <v>38.7777777777778</v>
      </c>
      <c r="E704" s="11" t="n">
        <f aca="false">D704*'Karnataka Fuel Rates'!$C$9</f>
        <v>3849.27611111111</v>
      </c>
    </row>
    <row r="705" customFormat="false" ht="15" hidden="false" customHeight="true" outlineLevel="0" collapsed="false">
      <c r="A705" s="1" t="n">
        <v>699</v>
      </c>
      <c r="B705" s="10" t="n">
        <f aca="false">A705/$B$4</f>
        <v>46.6</v>
      </c>
      <c r="C705" s="11" t="n">
        <f aca="false">B705*'Karnataka Fuel Rates'!$B$9</f>
        <v>5187.8615</v>
      </c>
      <c r="D705" s="10" t="n">
        <f aca="false">A705/$D$4</f>
        <v>38.8333333333333</v>
      </c>
      <c r="E705" s="11" t="n">
        <f aca="false">D705*'Karnataka Fuel Rates'!$C$9</f>
        <v>3854.79083333333</v>
      </c>
    </row>
    <row r="706" customFormat="false" ht="15" hidden="false" customHeight="true" outlineLevel="0" collapsed="false">
      <c r="A706" s="1" t="n">
        <v>700</v>
      </c>
      <c r="B706" s="10" t="n">
        <f aca="false">A706/$B$4</f>
        <v>46.6666666666667</v>
      </c>
      <c r="C706" s="11" t="n">
        <f aca="false">B706*'Karnataka Fuel Rates'!$B$9</f>
        <v>5195.28333333333</v>
      </c>
      <c r="D706" s="10" t="n">
        <f aca="false">A706/$D$4</f>
        <v>38.8888888888889</v>
      </c>
      <c r="E706" s="11" t="n">
        <f aca="false">D706*'Karnataka Fuel Rates'!$C$9</f>
        <v>3860.30555555556</v>
      </c>
    </row>
    <row r="707" customFormat="false" ht="15" hidden="false" customHeight="true" outlineLevel="0" collapsed="false">
      <c r="A707" s="1" t="n">
        <v>701</v>
      </c>
      <c r="B707" s="10" t="n">
        <f aca="false">A707/$B$4</f>
        <v>46.7333333333333</v>
      </c>
      <c r="C707" s="11" t="n">
        <f aca="false">B707*'Karnataka Fuel Rates'!$B$9</f>
        <v>5202.70516666667</v>
      </c>
      <c r="D707" s="10" t="n">
        <f aca="false">A707/$D$4</f>
        <v>38.9444444444444</v>
      </c>
      <c r="E707" s="11" t="n">
        <f aca="false">D707*'Karnataka Fuel Rates'!$C$9</f>
        <v>3865.82027777778</v>
      </c>
    </row>
    <row r="708" customFormat="false" ht="15" hidden="false" customHeight="true" outlineLevel="0" collapsed="false">
      <c r="A708" s="1" t="n">
        <v>702</v>
      </c>
      <c r="B708" s="10" t="n">
        <f aca="false">A708/$B$4</f>
        <v>46.8</v>
      </c>
      <c r="C708" s="11" t="n">
        <f aca="false">B708*'Karnataka Fuel Rates'!$B$9</f>
        <v>5210.127</v>
      </c>
      <c r="D708" s="10" t="n">
        <f aca="false">A708/$D$4</f>
        <v>39</v>
      </c>
      <c r="E708" s="11" t="n">
        <f aca="false">D708*'Karnataka Fuel Rates'!$C$9</f>
        <v>3871.335</v>
      </c>
    </row>
    <row r="709" customFormat="false" ht="15" hidden="false" customHeight="true" outlineLevel="0" collapsed="false">
      <c r="A709" s="1" t="n">
        <v>703</v>
      </c>
      <c r="B709" s="10" t="n">
        <f aca="false">A709/$B$4</f>
        <v>46.8666666666667</v>
      </c>
      <c r="C709" s="11" t="n">
        <f aca="false">B709*'Karnataka Fuel Rates'!$B$9</f>
        <v>5217.54883333333</v>
      </c>
      <c r="D709" s="10" t="n">
        <f aca="false">A709/$D$4</f>
        <v>39.0555555555556</v>
      </c>
      <c r="E709" s="11" t="n">
        <f aca="false">D709*'Karnataka Fuel Rates'!$C$9</f>
        <v>3876.84972222222</v>
      </c>
    </row>
    <row r="710" customFormat="false" ht="15" hidden="false" customHeight="true" outlineLevel="0" collapsed="false">
      <c r="A710" s="1" t="n">
        <v>704</v>
      </c>
      <c r="B710" s="10" t="n">
        <f aca="false">A710/$B$4</f>
        <v>46.9333333333333</v>
      </c>
      <c r="C710" s="11" t="n">
        <f aca="false">B710*'Karnataka Fuel Rates'!$B$9</f>
        <v>5224.97066666667</v>
      </c>
      <c r="D710" s="10" t="n">
        <f aca="false">A710/$D$4</f>
        <v>39.1111111111111</v>
      </c>
      <c r="E710" s="11" t="n">
        <f aca="false">D710*'Karnataka Fuel Rates'!$C$9</f>
        <v>3882.36444444445</v>
      </c>
    </row>
    <row r="711" customFormat="false" ht="15" hidden="false" customHeight="true" outlineLevel="0" collapsed="false">
      <c r="A711" s="1" t="n">
        <v>705</v>
      </c>
      <c r="B711" s="10" t="n">
        <f aca="false">A711/$B$4</f>
        <v>47</v>
      </c>
      <c r="C711" s="11" t="n">
        <f aca="false">B711*'Karnataka Fuel Rates'!$B$9</f>
        <v>5232.3925</v>
      </c>
      <c r="D711" s="10" t="n">
        <f aca="false">A711/$D$4</f>
        <v>39.1666666666667</v>
      </c>
      <c r="E711" s="11" t="n">
        <f aca="false">D711*'Karnataka Fuel Rates'!$C$9</f>
        <v>3887.87916666667</v>
      </c>
    </row>
    <row r="712" customFormat="false" ht="15" hidden="false" customHeight="true" outlineLevel="0" collapsed="false">
      <c r="A712" s="1" t="n">
        <v>706</v>
      </c>
      <c r="B712" s="10" t="n">
        <f aca="false">A712/$B$4</f>
        <v>47.0666666666667</v>
      </c>
      <c r="C712" s="11" t="n">
        <f aca="false">B712*'Karnataka Fuel Rates'!$B$9</f>
        <v>5239.81433333333</v>
      </c>
      <c r="D712" s="10" t="n">
        <f aca="false">A712/$D$4</f>
        <v>39.2222222222222</v>
      </c>
      <c r="E712" s="11" t="n">
        <f aca="false">D712*'Karnataka Fuel Rates'!$C$9</f>
        <v>3893.39388888889</v>
      </c>
    </row>
    <row r="713" customFormat="false" ht="15" hidden="false" customHeight="true" outlineLevel="0" collapsed="false">
      <c r="A713" s="1" t="n">
        <v>707</v>
      </c>
      <c r="B713" s="10" t="n">
        <f aca="false">A713/$B$4</f>
        <v>47.1333333333333</v>
      </c>
      <c r="C713" s="11" t="n">
        <f aca="false">B713*'Karnataka Fuel Rates'!$B$9</f>
        <v>5247.23616666667</v>
      </c>
      <c r="D713" s="10" t="n">
        <f aca="false">A713/$D$4</f>
        <v>39.2777777777778</v>
      </c>
      <c r="E713" s="11" t="n">
        <f aca="false">D713*'Karnataka Fuel Rates'!$C$9</f>
        <v>3898.90861111111</v>
      </c>
    </row>
    <row r="714" customFormat="false" ht="15" hidden="false" customHeight="true" outlineLevel="0" collapsed="false">
      <c r="A714" s="1" t="n">
        <v>708</v>
      </c>
      <c r="B714" s="10" t="n">
        <f aca="false">A714/$B$4</f>
        <v>47.2</v>
      </c>
      <c r="C714" s="11" t="n">
        <f aca="false">B714*'Karnataka Fuel Rates'!$B$9</f>
        <v>5254.658</v>
      </c>
      <c r="D714" s="10" t="n">
        <f aca="false">A714/$D$4</f>
        <v>39.3333333333333</v>
      </c>
      <c r="E714" s="11" t="n">
        <f aca="false">D714*'Karnataka Fuel Rates'!$C$9</f>
        <v>3904.42333333333</v>
      </c>
    </row>
    <row r="715" customFormat="false" ht="15" hidden="false" customHeight="true" outlineLevel="0" collapsed="false">
      <c r="A715" s="1" t="n">
        <v>709</v>
      </c>
      <c r="B715" s="10" t="n">
        <f aca="false">A715/$B$4</f>
        <v>47.2666666666667</v>
      </c>
      <c r="C715" s="11" t="n">
        <f aca="false">B715*'Karnataka Fuel Rates'!$B$9</f>
        <v>5262.07983333333</v>
      </c>
      <c r="D715" s="10" t="n">
        <f aca="false">A715/$D$4</f>
        <v>39.3888888888889</v>
      </c>
      <c r="E715" s="11" t="n">
        <f aca="false">D715*'Karnataka Fuel Rates'!$C$9</f>
        <v>3909.93805555556</v>
      </c>
    </row>
    <row r="716" customFormat="false" ht="15" hidden="false" customHeight="true" outlineLevel="0" collapsed="false">
      <c r="A716" s="1" t="n">
        <v>710</v>
      </c>
      <c r="B716" s="10" t="n">
        <f aca="false">A716/$B$4</f>
        <v>47.3333333333333</v>
      </c>
      <c r="C716" s="11" t="n">
        <f aca="false">B716*'Karnataka Fuel Rates'!$B$9</f>
        <v>5269.50166666667</v>
      </c>
      <c r="D716" s="10" t="n">
        <f aca="false">A716/$D$4</f>
        <v>39.4444444444444</v>
      </c>
      <c r="E716" s="11" t="n">
        <f aca="false">D716*'Karnataka Fuel Rates'!$C$9</f>
        <v>3915.45277777778</v>
      </c>
    </row>
    <row r="717" customFormat="false" ht="15" hidden="false" customHeight="true" outlineLevel="0" collapsed="false">
      <c r="A717" s="1" t="n">
        <v>711</v>
      </c>
      <c r="B717" s="10" t="n">
        <f aca="false">A717/$B$4</f>
        <v>47.4</v>
      </c>
      <c r="C717" s="11" t="n">
        <f aca="false">B717*'Karnataka Fuel Rates'!$B$9</f>
        <v>5276.9235</v>
      </c>
      <c r="D717" s="10" t="n">
        <f aca="false">A717/$D$4</f>
        <v>39.5</v>
      </c>
      <c r="E717" s="11" t="n">
        <f aca="false">D717*'Karnataka Fuel Rates'!$C$9</f>
        <v>3920.9675</v>
      </c>
    </row>
    <row r="718" customFormat="false" ht="15" hidden="false" customHeight="true" outlineLevel="0" collapsed="false">
      <c r="A718" s="1" t="n">
        <v>712</v>
      </c>
      <c r="B718" s="10" t="n">
        <f aca="false">A718/$B$4</f>
        <v>47.4666666666667</v>
      </c>
      <c r="C718" s="11" t="n">
        <f aca="false">B718*'Karnataka Fuel Rates'!$B$9</f>
        <v>5284.34533333333</v>
      </c>
      <c r="D718" s="10" t="n">
        <f aca="false">A718/$D$4</f>
        <v>39.5555555555556</v>
      </c>
      <c r="E718" s="11" t="n">
        <f aca="false">D718*'Karnataka Fuel Rates'!$C$9</f>
        <v>3926.48222222222</v>
      </c>
    </row>
    <row r="719" customFormat="false" ht="15" hidden="false" customHeight="true" outlineLevel="0" collapsed="false">
      <c r="A719" s="1" t="n">
        <v>713</v>
      </c>
      <c r="B719" s="10" t="n">
        <f aca="false">A719/$B$4</f>
        <v>47.5333333333333</v>
      </c>
      <c r="C719" s="11" t="n">
        <f aca="false">B719*'Karnataka Fuel Rates'!$B$9</f>
        <v>5291.76716666667</v>
      </c>
      <c r="D719" s="10" t="n">
        <f aca="false">A719/$D$4</f>
        <v>39.6111111111111</v>
      </c>
      <c r="E719" s="11" t="n">
        <f aca="false">D719*'Karnataka Fuel Rates'!$C$9</f>
        <v>3931.99694444444</v>
      </c>
    </row>
    <row r="720" customFormat="false" ht="15" hidden="false" customHeight="true" outlineLevel="0" collapsed="false">
      <c r="A720" s="1" t="n">
        <v>714</v>
      </c>
      <c r="B720" s="10" t="n">
        <f aca="false">A720/$B$4</f>
        <v>47.6</v>
      </c>
      <c r="C720" s="11" t="n">
        <f aca="false">B720*'Karnataka Fuel Rates'!$B$9</f>
        <v>5299.189</v>
      </c>
      <c r="D720" s="10" t="n">
        <f aca="false">A720/$D$4</f>
        <v>39.6666666666667</v>
      </c>
      <c r="E720" s="11" t="n">
        <f aca="false">D720*'Karnataka Fuel Rates'!$C$9</f>
        <v>3937.51166666667</v>
      </c>
    </row>
    <row r="721" customFormat="false" ht="15" hidden="false" customHeight="true" outlineLevel="0" collapsed="false">
      <c r="A721" s="1" t="n">
        <v>715</v>
      </c>
      <c r="B721" s="10" t="n">
        <f aca="false">A721/$B$4</f>
        <v>47.6666666666667</v>
      </c>
      <c r="C721" s="11" t="n">
        <f aca="false">B721*'Karnataka Fuel Rates'!$B$9</f>
        <v>5306.61083333333</v>
      </c>
      <c r="D721" s="10" t="n">
        <f aca="false">A721/$D$4</f>
        <v>39.7222222222222</v>
      </c>
      <c r="E721" s="11" t="n">
        <f aca="false">D721*'Karnataka Fuel Rates'!$C$9</f>
        <v>3943.02638888889</v>
      </c>
    </row>
    <row r="722" customFormat="false" ht="15" hidden="false" customHeight="true" outlineLevel="0" collapsed="false">
      <c r="A722" s="1" t="n">
        <v>716</v>
      </c>
      <c r="B722" s="10" t="n">
        <f aca="false">A722/$B$4</f>
        <v>47.7333333333333</v>
      </c>
      <c r="C722" s="11" t="n">
        <f aca="false">B722*'Karnataka Fuel Rates'!$B$9</f>
        <v>5314.03266666667</v>
      </c>
      <c r="D722" s="10" t="n">
        <f aca="false">A722/$D$4</f>
        <v>39.7777777777778</v>
      </c>
      <c r="E722" s="11" t="n">
        <f aca="false">D722*'Karnataka Fuel Rates'!$C$9</f>
        <v>3948.54111111111</v>
      </c>
    </row>
    <row r="723" customFormat="false" ht="15" hidden="false" customHeight="true" outlineLevel="0" collapsed="false">
      <c r="A723" s="1" t="n">
        <v>717</v>
      </c>
      <c r="B723" s="10" t="n">
        <f aca="false">A723/$B$4</f>
        <v>47.8</v>
      </c>
      <c r="C723" s="11" t="n">
        <f aca="false">B723*'Karnataka Fuel Rates'!$B$9</f>
        <v>5321.4545</v>
      </c>
      <c r="D723" s="10" t="n">
        <f aca="false">A723/$D$4</f>
        <v>39.8333333333333</v>
      </c>
      <c r="E723" s="11" t="n">
        <f aca="false">D723*'Karnataka Fuel Rates'!$C$9</f>
        <v>3954.05583333333</v>
      </c>
    </row>
    <row r="724" customFormat="false" ht="15" hidden="false" customHeight="true" outlineLevel="0" collapsed="false">
      <c r="A724" s="1" t="n">
        <v>718</v>
      </c>
      <c r="B724" s="10" t="n">
        <f aca="false">A724/$B$4</f>
        <v>47.8666666666667</v>
      </c>
      <c r="C724" s="11" t="n">
        <f aca="false">B724*'Karnataka Fuel Rates'!$B$9</f>
        <v>5328.87633333333</v>
      </c>
      <c r="D724" s="10" t="n">
        <f aca="false">A724/$D$4</f>
        <v>39.8888888888889</v>
      </c>
      <c r="E724" s="11" t="n">
        <f aca="false">D724*'Karnataka Fuel Rates'!$C$9</f>
        <v>3959.57055555556</v>
      </c>
    </row>
    <row r="725" customFormat="false" ht="15" hidden="false" customHeight="true" outlineLevel="0" collapsed="false">
      <c r="A725" s="1" t="n">
        <v>719</v>
      </c>
      <c r="B725" s="10" t="n">
        <f aca="false">A725/$B$4</f>
        <v>47.9333333333333</v>
      </c>
      <c r="C725" s="11" t="n">
        <f aca="false">B725*'Karnataka Fuel Rates'!$B$9</f>
        <v>5336.29816666667</v>
      </c>
      <c r="D725" s="10" t="n">
        <f aca="false">A725/$D$4</f>
        <v>39.9444444444444</v>
      </c>
      <c r="E725" s="11" t="n">
        <f aca="false">D725*'Karnataka Fuel Rates'!$C$9</f>
        <v>3965.08527777778</v>
      </c>
    </row>
    <row r="726" customFormat="false" ht="15" hidden="false" customHeight="true" outlineLevel="0" collapsed="false">
      <c r="A726" s="1" t="n">
        <v>720</v>
      </c>
      <c r="B726" s="10" t="n">
        <f aca="false">A726/$B$4</f>
        <v>48</v>
      </c>
      <c r="C726" s="11" t="n">
        <f aca="false">B726*'Karnataka Fuel Rates'!$B$9</f>
        <v>5343.72</v>
      </c>
      <c r="D726" s="10" t="n">
        <f aca="false">A726/$D$4</f>
        <v>40</v>
      </c>
      <c r="E726" s="11" t="n">
        <f aca="false">D726*'Karnataka Fuel Rates'!$C$9</f>
        <v>3970.6</v>
      </c>
    </row>
    <row r="727" customFormat="false" ht="15" hidden="false" customHeight="true" outlineLevel="0" collapsed="false">
      <c r="A727" s="1" t="n">
        <v>721</v>
      </c>
      <c r="B727" s="10" t="n">
        <f aca="false">A727/$B$4</f>
        <v>48.0666666666667</v>
      </c>
      <c r="C727" s="11" t="n">
        <f aca="false">B727*'Karnataka Fuel Rates'!$B$9</f>
        <v>5351.14183333333</v>
      </c>
      <c r="D727" s="10" t="n">
        <f aca="false">A727/$D$4</f>
        <v>40.0555555555556</v>
      </c>
      <c r="E727" s="11" t="n">
        <f aca="false">D727*'Karnataka Fuel Rates'!$C$9</f>
        <v>3976.11472222222</v>
      </c>
    </row>
    <row r="728" customFormat="false" ht="15" hidden="false" customHeight="true" outlineLevel="0" collapsed="false">
      <c r="A728" s="1" t="n">
        <v>722</v>
      </c>
      <c r="B728" s="10" t="n">
        <f aca="false">A728/$B$4</f>
        <v>48.1333333333333</v>
      </c>
      <c r="C728" s="11" t="n">
        <f aca="false">B728*'Karnataka Fuel Rates'!$B$9</f>
        <v>5358.56366666667</v>
      </c>
      <c r="D728" s="10" t="n">
        <f aca="false">A728/$D$4</f>
        <v>40.1111111111111</v>
      </c>
      <c r="E728" s="11" t="n">
        <f aca="false">D728*'Karnataka Fuel Rates'!$C$9</f>
        <v>3981.62944444444</v>
      </c>
    </row>
    <row r="729" customFormat="false" ht="15" hidden="false" customHeight="true" outlineLevel="0" collapsed="false">
      <c r="A729" s="1" t="n">
        <v>723</v>
      </c>
      <c r="B729" s="10" t="n">
        <f aca="false">A729/$B$4</f>
        <v>48.2</v>
      </c>
      <c r="C729" s="11" t="n">
        <f aca="false">B729*'Karnataka Fuel Rates'!$B$9</f>
        <v>5365.9855</v>
      </c>
      <c r="D729" s="10" t="n">
        <f aca="false">A729/$D$4</f>
        <v>40.1666666666667</v>
      </c>
      <c r="E729" s="11" t="n">
        <f aca="false">D729*'Karnataka Fuel Rates'!$C$9</f>
        <v>3987.14416666667</v>
      </c>
    </row>
    <row r="730" customFormat="false" ht="15" hidden="false" customHeight="true" outlineLevel="0" collapsed="false">
      <c r="A730" s="1" t="n">
        <v>724</v>
      </c>
      <c r="B730" s="10" t="n">
        <f aca="false">A730/$B$4</f>
        <v>48.2666666666667</v>
      </c>
      <c r="C730" s="11" t="n">
        <f aca="false">B730*'Karnataka Fuel Rates'!$B$9</f>
        <v>5373.40733333333</v>
      </c>
      <c r="D730" s="10" t="n">
        <f aca="false">A730/$D$4</f>
        <v>40.2222222222222</v>
      </c>
      <c r="E730" s="11" t="n">
        <f aca="false">D730*'Karnataka Fuel Rates'!$C$9</f>
        <v>3992.65888888889</v>
      </c>
    </row>
    <row r="731" customFormat="false" ht="15" hidden="false" customHeight="true" outlineLevel="0" collapsed="false">
      <c r="A731" s="1" t="n">
        <v>725</v>
      </c>
      <c r="B731" s="10" t="n">
        <f aca="false">A731/$B$4</f>
        <v>48.3333333333333</v>
      </c>
      <c r="C731" s="11" t="n">
        <f aca="false">B731*'Karnataka Fuel Rates'!$B$9</f>
        <v>5380.82916666667</v>
      </c>
      <c r="D731" s="10" t="n">
        <f aca="false">A731/$D$4</f>
        <v>40.2777777777778</v>
      </c>
      <c r="E731" s="11" t="n">
        <f aca="false">D731*'Karnataka Fuel Rates'!$C$9</f>
        <v>3998.17361111111</v>
      </c>
    </row>
    <row r="732" customFormat="false" ht="15" hidden="false" customHeight="true" outlineLevel="0" collapsed="false">
      <c r="A732" s="1" t="n">
        <v>726</v>
      </c>
      <c r="B732" s="10" t="n">
        <f aca="false">A732/$B$4</f>
        <v>48.4</v>
      </c>
      <c r="C732" s="11" t="n">
        <f aca="false">B732*'Karnataka Fuel Rates'!$B$9</f>
        <v>5388.251</v>
      </c>
      <c r="D732" s="10" t="n">
        <f aca="false">A732/$D$4</f>
        <v>40.3333333333333</v>
      </c>
      <c r="E732" s="11" t="n">
        <f aca="false">D732*'Karnataka Fuel Rates'!$C$9</f>
        <v>4003.68833333333</v>
      </c>
    </row>
    <row r="733" customFormat="false" ht="15" hidden="false" customHeight="true" outlineLevel="0" collapsed="false">
      <c r="A733" s="1" t="n">
        <v>727</v>
      </c>
      <c r="B733" s="10" t="n">
        <f aca="false">A733/$B$4</f>
        <v>48.4666666666667</v>
      </c>
      <c r="C733" s="11" t="n">
        <f aca="false">B733*'Karnataka Fuel Rates'!$B$9</f>
        <v>5395.67283333333</v>
      </c>
      <c r="D733" s="10" t="n">
        <f aca="false">A733/$D$4</f>
        <v>40.3888888888889</v>
      </c>
      <c r="E733" s="11" t="n">
        <f aca="false">D733*'Karnataka Fuel Rates'!$C$9</f>
        <v>4009.20305555556</v>
      </c>
    </row>
    <row r="734" customFormat="false" ht="15" hidden="false" customHeight="true" outlineLevel="0" collapsed="false">
      <c r="A734" s="1" t="n">
        <v>728</v>
      </c>
      <c r="B734" s="10" t="n">
        <f aca="false">A734/$B$4</f>
        <v>48.5333333333333</v>
      </c>
      <c r="C734" s="11" t="n">
        <f aca="false">B734*'Karnataka Fuel Rates'!$B$9</f>
        <v>5403.09466666667</v>
      </c>
      <c r="D734" s="10" t="n">
        <f aca="false">A734/$D$4</f>
        <v>40.4444444444444</v>
      </c>
      <c r="E734" s="11" t="n">
        <f aca="false">D734*'Karnataka Fuel Rates'!$C$9</f>
        <v>4014.71777777778</v>
      </c>
    </row>
    <row r="735" customFormat="false" ht="15" hidden="false" customHeight="true" outlineLevel="0" collapsed="false">
      <c r="A735" s="1" t="n">
        <v>729</v>
      </c>
      <c r="B735" s="10" t="n">
        <f aca="false">A735/$B$4</f>
        <v>48.6</v>
      </c>
      <c r="C735" s="11" t="n">
        <f aca="false">B735*'Karnataka Fuel Rates'!$B$9</f>
        <v>5410.5165</v>
      </c>
      <c r="D735" s="10" t="n">
        <f aca="false">A735/$D$4</f>
        <v>40.5</v>
      </c>
      <c r="E735" s="11" t="n">
        <f aca="false">D735*'Karnataka Fuel Rates'!$C$9</f>
        <v>4020.2325</v>
      </c>
    </row>
    <row r="736" customFormat="false" ht="15" hidden="false" customHeight="true" outlineLevel="0" collapsed="false">
      <c r="A736" s="1" t="n">
        <v>730</v>
      </c>
      <c r="B736" s="10" t="n">
        <f aca="false">A736/$B$4</f>
        <v>48.6666666666667</v>
      </c>
      <c r="C736" s="11" t="n">
        <f aca="false">B736*'Karnataka Fuel Rates'!$B$9</f>
        <v>5417.93833333333</v>
      </c>
      <c r="D736" s="10" t="n">
        <f aca="false">A736/$D$4</f>
        <v>40.5555555555556</v>
      </c>
      <c r="E736" s="11" t="n">
        <f aca="false">D736*'Karnataka Fuel Rates'!$C$9</f>
        <v>4025.74722222222</v>
      </c>
    </row>
    <row r="737" customFormat="false" ht="15" hidden="false" customHeight="true" outlineLevel="0" collapsed="false">
      <c r="A737" s="1" t="n">
        <v>731</v>
      </c>
      <c r="B737" s="10" t="n">
        <f aca="false">A737/$B$4</f>
        <v>48.7333333333333</v>
      </c>
      <c r="C737" s="11" t="n">
        <f aca="false">B737*'Karnataka Fuel Rates'!$B$9</f>
        <v>5425.36016666667</v>
      </c>
      <c r="D737" s="10" t="n">
        <f aca="false">A737/$D$4</f>
        <v>40.6111111111111</v>
      </c>
      <c r="E737" s="11" t="n">
        <f aca="false">D737*'Karnataka Fuel Rates'!$C$9</f>
        <v>4031.26194444445</v>
      </c>
    </row>
    <row r="738" customFormat="false" ht="15" hidden="false" customHeight="true" outlineLevel="0" collapsed="false">
      <c r="A738" s="1" t="n">
        <v>732</v>
      </c>
      <c r="B738" s="10" t="n">
        <f aca="false">A738/$B$4</f>
        <v>48.8</v>
      </c>
      <c r="C738" s="11" t="n">
        <f aca="false">B738*'Karnataka Fuel Rates'!$B$9</f>
        <v>5432.782</v>
      </c>
      <c r="D738" s="10" t="n">
        <f aca="false">A738/$D$4</f>
        <v>40.6666666666667</v>
      </c>
      <c r="E738" s="11" t="n">
        <f aca="false">D738*'Karnataka Fuel Rates'!$C$9</f>
        <v>4036.77666666667</v>
      </c>
    </row>
    <row r="739" customFormat="false" ht="15" hidden="false" customHeight="true" outlineLevel="0" collapsed="false">
      <c r="A739" s="1" t="n">
        <v>733</v>
      </c>
      <c r="B739" s="10" t="n">
        <f aca="false">A739/$B$4</f>
        <v>48.8666666666667</v>
      </c>
      <c r="C739" s="11" t="n">
        <f aca="false">B739*'Karnataka Fuel Rates'!$B$9</f>
        <v>5440.20383333333</v>
      </c>
      <c r="D739" s="10" t="n">
        <f aca="false">A739/$D$4</f>
        <v>40.7222222222222</v>
      </c>
      <c r="E739" s="11" t="n">
        <f aca="false">D739*'Karnataka Fuel Rates'!$C$9</f>
        <v>4042.29138888889</v>
      </c>
    </row>
    <row r="740" customFormat="false" ht="15" hidden="false" customHeight="true" outlineLevel="0" collapsed="false">
      <c r="A740" s="1" t="n">
        <v>734</v>
      </c>
      <c r="B740" s="10" t="n">
        <f aca="false">A740/$B$4</f>
        <v>48.9333333333333</v>
      </c>
      <c r="C740" s="11" t="n">
        <f aca="false">B740*'Karnataka Fuel Rates'!$B$9</f>
        <v>5447.62566666667</v>
      </c>
      <c r="D740" s="10" t="n">
        <f aca="false">A740/$D$4</f>
        <v>40.7777777777778</v>
      </c>
      <c r="E740" s="11" t="n">
        <f aca="false">D740*'Karnataka Fuel Rates'!$C$9</f>
        <v>4047.80611111111</v>
      </c>
    </row>
    <row r="741" customFormat="false" ht="15" hidden="false" customHeight="true" outlineLevel="0" collapsed="false">
      <c r="A741" s="1" t="n">
        <v>735</v>
      </c>
      <c r="B741" s="10" t="n">
        <f aca="false">A741/$B$4</f>
        <v>49</v>
      </c>
      <c r="C741" s="11" t="n">
        <f aca="false">B741*'Karnataka Fuel Rates'!$B$9</f>
        <v>5455.0475</v>
      </c>
      <c r="D741" s="10" t="n">
        <f aca="false">A741/$D$4</f>
        <v>40.8333333333333</v>
      </c>
      <c r="E741" s="11" t="n">
        <f aca="false">D741*'Karnataka Fuel Rates'!$C$9</f>
        <v>4053.32083333333</v>
      </c>
    </row>
    <row r="742" customFormat="false" ht="15" hidden="false" customHeight="true" outlineLevel="0" collapsed="false">
      <c r="A742" s="1" t="n">
        <v>736</v>
      </c>
      <c r="B742" s="10" t="n">
        <f aca="false">A742/$B$4</f>
        <v>49.0666666666667</v>
      </c>
      <c r="C742" s="11" t="n">
        <f aca="false">B742*'Karnataka Fuel Rates'!$B$9</f>
        <v>5462.46933333333</v>
      </c>
      <c r="D742" s="10" t="n">
        <f aca="false">A742/$D$4</f>
        <v>40.8888888888889</v>
      </c>
      <c r="E742" s="11" t="n">
        <f aca="false">D742*'Karnataka Fuel Rates'!$C$9</f>
        <v>4058.83555555556</v>
      </c>
    </row>
    <row r="743" customFormat="false" ht="15" hidden="false" customHeight="true" outlineLevel="0" collapsed="false">
      <c r="A743" s="1" t="n">
        <v>737</v>
      </c>
      <c r="B743" s="10" t="n">
        <f aca="false">A743/$B$4</f>
        <v>49.1333333333333</v>
      </c>
      <c r="C743" s="11" t="n">
        <f aca="false">B743*'Karnataka Fuel Rates'!$B$9</f>
        <v>5469.89116666667</v>
      </c>
      <c r="D743" s="10" t="n">
        <f aca="false">A743/$D$4</f>
        <v>40.9444444444444</v>
      </c>
      <c r="E743" s="11" t="n">
        <f aca="false">D743*'Karnataka Fuel Rates'!$C$9</f>
        <v>4064.35027777778</v>
      </c>
    </row>
    <row r="744" customFormat="false" ht="15" hidden="false" customHeight="true" outlineLevel="0" collapsed="false">
      <c r="A744" s="1" t="n">
        <v>738</v>
      </c>
      <c r="B744" s="10" t="n">
        <f aca="false">A744/$B$4</f>
        <v>49.2</v>
      </c>
      <c r="C744" s="11" t="n">
        <f aca="false">B744*'Karnataka Fuel Rates'!$B$9</f>
        <v>5477.313</v>
      </c>
      <c r="D744" s="10" t="n">
        <f aca="false">A744/$D$4</f>
        <v>41</v>
      </c>
      <c r="E744" s="11" t="n">
        <f aca="false">D744*'Karnataka Fuel Rates'!$C$9</f>
        <v>4069.865</v>
      </c>
    </row>
    <row r="745" customFormat="false" ht="15" hidden="false" customHeight="true" outlineLevel="0" collapsed="false">
      <c r="A745" s="1" t="n">
        <v>739</v>
      </c>
      <c r="B745" s="10" t="n">
        <f aca="false">A745/$B$4</f>
        <v>49.2666666666667</v>
      </c>
      <c r="C745" s="11" t="n">
        <f aca="false">B745*'Karnataka Fuel Rates'!$B$9</f>
        <v>5484.73483333333</v>
      </c>
      <c r="D745" s="10" t="n">
        <f aca="false">A745/$D$4</f>
        <v>41.0555555555556</v>
      </c>
      <c r="E745" s="11" t="n">
        <f aca="false">D745*'Karnataka Fuel Rates'!$C$9</f>
        <v>4075.37972222222</v>
      </c>
    </row>
    <row r="746" customFormat="false" ht="15" hidden="false" customHeight="true" outlineLevel="0" collapsed="false">
      <c r="A746" s="1" t="n">
        <v>740</v>
      </c>
      <c r="B746" s="10" t="n">
        <f aca="false">A746/$B$4</f>
        <v>49.3333333333333</v>
      </c>
      <c r="C746" s="11" t="n">
        <f aca="false">B746*'Karnataka Fuel Rates'!$B$9</f>
        <v>5492.15666666667</v>
      </c>
      <c r="D746" s="10" t="n">
        <f aca="false">A746/$D$4</f>
        <v>41.1111111111111</v>
      </c>
      <c r="E746" s="11" t="n">
        <f aca="false">D746*'Karnataka Fuel Rates'!$C$9</f>
        <v>4080.89444444444</v>
      </c>
    </row>
    <row r="747" customFormat="false" ht="15" hidden="false" customHeight="true" outlineLevel="0" collapsed="false">
      <c r="A747" s="1" t="n">
        <v>741</v>
      </c>
      <c r="B747" s="10" t="n">
        <f aca="false">A747/$B$4</f>
        <v>49.4</v>
      </c>
      <c r="C747" s="11" t="n">
        <f aca="false">B747*'Karnataka Fuel Rates'!$B$9</f>
        <v>5499.5785</v>
      </c>
      <c r="D747" s="10" t="n">
        <f aca="false">A747/$D$4</f>
        <v>41.1666666666667</v>
      </c>
      <c r="E747" s="11" t="n">
        <f aca="false">D747*'Karnataka Fuel Rates'!$C$9</f>
        <v>4086.40916666667</v>
      </c>
    </row>
    <row r="748" customFormat="false" ht="15" hidden="false" customHeight="true" outlineLevel="0" collapsed="false">
      <c r="A748" s="1" t="n">
        <v>742</v>
      </c>
      <c r="B748" s="10" t="n">
        <f aca="false">A748/$B$4</f>
        <v>49.4666666666667</v>
      </c>
      <c r="C748" s="11" t="n">
        <f aca="false">B748*'Karnataka Fuel Rates'!$B$9</f>
        <v>5507.00033333333</v>
      </c>
      <c r="D748" s="10" t="n">
        <f aca="false">A748/$D$4</f>
        <v>41.2222222222222</v>
      </c>
      <c r="E748" s="11" t="n">
        <f aca="false">D748*'Karnataka Fuel Rates'!$C$9</f>
        <v>4091.92388888889</v>
      </c>
    </row>
    <row r="749" customFormat="false" ht="15" hidden="false" customHeight="true" outlineLevel="0" collapsed="false">
      <c r="A749" s="1" t="n">
        <v>743</v>
      </c>
      <c r="B749" s="10" t="n">
        <f aca="false">A749/$B$4</f>
        <v>49.5333333333333</v>
      </c>
      <c r="C749" s="11" t="n">
        <f aca="false">B749*'Karnataka Fuel Rates'!$B$9</f>
        <v>5514.42216666667</v>
      </c>
      <c r="D749" s="10" t="n">
        <f aca="false">A749/$D$4</f>
        <v>41.2777777777778</v>
      </c>
      <c r="E749" s="11" t="n">
        <f aca="false">D749*'Karnataka Fuel Rates'!$C$9</f>
        <v>4097.43861111111</v>
      </c>
    </row>
    <row r="750" customFormat="false" ht="15" hidden="false" customHeight="true" outlineLevel="0" collapsed="false">
      <c r="A750" s="1" t="n">
        <v>744</v>
      </c>
      <c r="B750" s="10" t="n">
        <f aca="false">A750/$B$4</f>
        <v>49.6</v>
      </c>
      <c r="C750" s="11" t="n">
        <f aca="false">B750*'Karnataka Fuel Rates'!$B$9</f>
        <v>5521.844</v>
      </c>
      <c r="D750" s="10" t="n">
        <f aca="false">A750/$D$4</f>
        <v>41.3333333333333</v>
      </c>
      <c r="E750" s="11" t="n">
        <f aca="false">D750*'Karnataka Fuel Rates'!$C$9</f>
        <v>4102.95333333333</v>
      </c>
    </row>
    <row r="751" customFormat="false" ht="15" hidden="false" customHeight="true" outlineLevel="0" collapsed="false">
      <c r="A751" s="1" t="n">
        <v>745</v>
      </c>
      <c r="B751" s="10" t="n">
        <f aca="false">A751/$B$4</f>
        <v>49.6666666666667</v>
      </c>
      <c r="C751" s="11" t="n">
        <f aca="false">B751*'Karnataka Fuel Rates'!$B$9</f>
        <v>5529.26583333333</v>
      </c>
      <c r="D751" s="10" t="n">
        <f aca="false">A751/$D$4</f>
        <v>41.3888888888889</v>
      </c>
      <c r="E751" s="11" t="n">
        <f aca="false">D751*'Karnataka Fuel Rates'!$C$9</f>
        <v>4108.46805555556</v>
      </c>
    </row>
    <row r="752" customFormat="false" ht="15" hidden="false" customHeight="true" outlineLevel="0" collapsed="false">
      <c r="A752" s="1" t="n">
        <v>746</v>
      </c>
      <c r="B752" s="10" t="n">
        <f aca="false">A752/$B$4</f>
        <v>49.7333333333333</v>
      </c>
      <c r="C752" s="11" t="n">
        <f aca="false">B752*'Karnataka Fuel Rates'!$B$9</f>
        <v>5536.68766666667</v>
      </c>
      <c r="D752" s="10" t="n">
        <f aca="false">A752/$D$4</f>
        <v>41.4444444444444</v>
      </c>
      <c r="E752" s="11" t="n">
        <f aca="false">D752*'Karnataka Fuel Rates'!$C$9</f>
        <v>4113.98277777778</v>
      </c>
    </row>
    <row r="753" customFormat="false" ht="15" hidden="false" customHeight="true" outlineLevel="0" collapsed="false">
      <c r="A753" s="1" t="n">
        <v>747</v>
      </c>
      <c r="B753" s="10" t="n">
        <f aca="false">A753/$B$4</f>
        <v>49.8</v>
      </c>
      <c r="C753" s="11" t="n">
        <f aca="false">B753*'Karnataka Fuel Rates'!$B$9</f>
        <v>5544.1095</v>
      </c>
      <c r="D753" s="10" t="n">
        <f aca="false">A753/$D$4</f>
        <v>41.5</v>
      </c>
      <c r="E753" s="11" t="n">
        <f aca="false">D753*'Karnataka Fuel Rates'!$C$9</f>
        <v>4119.4975</v>
      </c>
    </row>
    <row r="754" customFormat="false" ht="15" hidden="false" customHeight="true" outlineLevel="0" collapsed="false">
      <c r="A754" s="1" t="n">
        <v>748</v>
      </c>
      <c r="B754" s="10" t="n">
        <f aca="false">A754/$B$4</f>
        <v>49.8666666666667</v>
      </c>
      <c r="C754" s="11" t="n">
        <f aca="false">B754*'Karnataka Fuel Rates'!$B$9</f>
        <v>5551.53133333333</v>
      </c>
      <c r="D754" s="10" t="n">
        <f aca="false">A754/$D$4</f>
        <v>41.5555555555556</v>
      </c>
      <c r="E754" s="11" t="n">
        <f aca="false">D754*'Karnataka Fuel Rates'!$C$9</f>
        <v>4125.01222222222</v>
      </c>
    </row>
    <row r="755" customFormat="false" ht="15" hidden="false" customHeight="true" outlineLevel="0" collapsed="false">
      <c r="A755" s="1" t="n">
        <v>749</v>
      </c>
      <c r="B755" s="10" t="n">
        <f aca="false">A755/$B$4</f>
        <v>49.9333333333333</v>
      </c>
      <c r="C755" s="11" t="n">
        <f aca="false">B755*'Karnataka Fuel Rates'!$B$9</f>
        <v>5558.95316666667</v>
      </c>
      <c r="D755" s="10" t="n">
        <f aca="false">A755/$D$4</f>
        <v>41.6111111111111</v>
      </c>
      <c r="E755" s="11" t="n">
        <f aca="false">D755*'Karnataka Fuel Rates'!$C$9</f>
        <v>4130.52694444445</v>
      </c>
    </row>
    <row r="756" customFormat="false" ht="15" hidden="false" customHeight="true" outlineLevel="0" collapsed="false">
      <c r="A756" s="1" t="n">
        <v>750</v>
      </c>
      <c r="B756" s="10" t="n">
        <f aca="false">A756/$B$4</f>
        <v>50</v>
      </c>
      <c r="C756" s="11" t="n">
        <f aca="false">B756*'Karnataka Fuel Rates'!$B$9</f>
        <v>5566.375</v>
      </c>
      <c r="D756" s="10" t="n">
        <f aca="false">A756/$D$4</f>
        <v>41.6666666666667</v>
      </c>
      <c r="E756" s="11" t="n">
        <f aca="false">D756*'Karnataka Fuel Rates'!$C$9</f>
        <v>4136.04166666667</v>
      </c>
    </row>
    <row r="757" customFormat="false" ht="15" hidden="false" customHeight="true" outlineLevel="0" collapsed="false">
      <c r="A757" s="1" t="n">
        <v>751</v>
      </c>
      <c r="B757" s="10" t="n">
        <f aca="false">A757/$B$4</f>
        <v>50.0666666666667</v>
      </c>
      <c r="C757" s="11" t="n">
        <f aca="false">B757*'Karnataka Fuel Rates'!$B$9</f>
        <v>5573.79683333333</v>
      </c>
      <c r="D757" s="10" t="n">
        <f aca="false">A757/$D$4</f>
        <v>41.7222222222222</v>
      </c>
      <c r="E757" s="11" t="n">
        <f aca="false">D757*'Karnataka Fuel Rates'!$C$9</f>
        <v>4141.55638888889</v>
      </c>
    </row>
    <row r="758" customFormat="false" ht="15" hidden="false" customHeight="true" outlineLevel="0" collapsed="false">
      <c r="A758" s="1" t="n">
        <v>752</v>
      </c>
      <c r="B758" s="10" t="n">
        <f aca="false">A758/$B$4</f>
        <v>50.1333333333333</v>
      </c>
      <c r="C758" s="11" t="n">
        <f aca="false">B758*'Karnataka Fuel Rates'!$B$9</f>
        <v>5581.21866666667</v>
      </c>
      <c r="D758" s="10" t="n">
        <f aca="false">A758/$D$4</f>
        <v>41.7777777777778</v>
      </c>
      <c r="E758" s="11" t="n">
        <f aca="false">D758*'Karnataka Fuel Rates'!$C$9</f>
        <v>4147.07111111111</v>
      </c>
    </row>
    <row r="759" customFormat="false" ht="15" hidden="false" customHeight="true" outlineLevel="0" collapsed="false">
      <c r="A759" s="1" t="n">
        <v>753</v>
      </c>
      <c r="B759" s="10" t="n">
        <f aca="false">A759/$B$4</f>
        <v>50.2</v>
      </c>
      <c r="C759" s="11" t="n">
        <f aca="false">B759*'Karnataka Fuel Rates'!$B$9</f>
        <v>5588.6405</v>
      </c>
      <c r="D759" s="10" t="n">
        <f aca="false">A759/$D$4</f>
        <v>41.8333333333333</v>
      </c>
      <c r="E759" s="11" t="n">
        <f aca="false">D759*'Karnataka Fuel Rates'!$C$9</f>
        <v>4152.58583333333</v>
      </c>
    </row>
    <row r="760" customFormat="false" ht="15" hidden="false" customHeight="true" outlineLevel="0" collapsed="false">
      <c r="A760" s="1" t="n">
        <v>754</v>
      </c>
      <c r="B760" s="10" t="n">
        <f aca="false">A760/$B$4</f>
        <v>50.2666666666667</v>
      </c>
      <c r="C760" s="11" t="n">
        <f aca="false">B760*'Karnataka Fuel Rates'!$B$9</f>
        <v>5596.06233333333</v>
      </c>
      <c r="D760" s="10" t="n">
        <f aca="false">A760/$D$4</f>
        <v>41.8888888888889</v>
      </c>
      <c r="E760" s="11" t="n">
        <f aca="false">D760*'Karnataka Fuel Rates'!$C$9</f>
        <v>4158.10055555556</v>
      </c>
    </row>
    <row r="761" customFormat="false" ht="15" hidden="false" customHeight="true" outlineLevel="0" collapsed="false">
      <c r="A761" s="1" t="n">
        <v>755</v>
      </c>
      <c r="B761" s="10" t="n">
        <f aca="false">A761/$B$4</f>
        <v>50.3333333333333</v>
      </c>
      <c r="C761" s="11" t="n">
        <f aca="false">B761*'Karnataka Fuel Rates'!$B$9</f>
        <v>5603.48416666667</v>
      </c>
      <c r="D761" s="10" t="n">
        <f aca="false">A761/$D$4</f>
        <v>41.9444444444444</v>
      </c>
      <c r="E761" s="11" t="n">
        <f aca="false">D761*'Karnataka Fuel Rates'!$C$9</f>
        <v>4163.61527777778</v>
      </c>
    </row>
    <row r="762" customFormat="false" ht="15" hidden="false" customHeight="true" outlineLevel="0" collapsed="false">
      <c r="A762" s="1" t="n">
        <v>756</v>
      </c>
      <c r="B762" s="10" t="n">
        <f aca="false">A762/$B$4</f>
        <v>50.4</v>
      </c>
      <c r="C762" s="11" t="n">
        <f aca="false">B762*'Karnataka Fuel Rates'!$B$9</f>
        <v>5610.906</v>
      </c>
      <c r="D762" s="10" t="n">
        <f aca="false">A762/$D$4</f>
        <v>42</v>
      </c>
      <c r="E762" s="11" t="n">
        <f aca="false">D762*'Karnataka Fuel Rates'!$C$9</f>
        <v>4169.13</v>
      </c>
    </row>
    <row r="763" customFormat="false" ht="15" hidden="false" customHeight="true" outlineLevel="0" collapsed="false">
      <c r="A763" s="1" t="n">
        <v>757</v>
      </c>
      <c r="B763" s="10" t="n">
        <f aca="false">A763/$B$4</f>
        <v>50.4666666666667</v>
      </c>
      <c r="C763" s="11" t="n">
        <f aca="false">B763*'Karnataka Fuel Rates'!$B$9</f>
        <v>5618.32783333333</v>
      </c>
      <c r="D763" s="10" t="n">
        <f aca="false">A763/$D$4</f>
        <v>42.0555555555556</v>
      </c>
      <c r="E763" s="11" t="n">
        <f aca="false">D763*'Karnataka Fuel Rates'!$C$9</f>
        <v>4174.64472222222</v>
      </c>
    </row>
    <row r="764" customFormat="false" ht="15" hidden="false" customHeight="true" outlineLevel="0" collapsed="false">
      <c r="A764" s="1" t="n">
        <v>758</v>
      </c>
      <c r="B764" s="10" t="n">
        <f aca="false">A764/$B$4</f>
        <v>50.5333333333333</v>
      </c>
      <c r="C764" s="11" t="n">
        <f aca="false">B764*'Karnataka Fuel Rates'!$B$9</f>
        <v>5625.74966666667</v>
      </c>
      <c r="D764" s="10" t="n">
        <f aca="false">A764/$D$4</f>
        <v>42.1111111111111</v>
      </c>
      <c r="E764" s="11" t="n">
        <f aca="false">D764*'Karnataka Fuel Rates'!$C$9</f>
        <v>4180.15944444444</v>
      </c>
    </row>
    <row r="765" customFormat="false" ht="15" hidden="false" customHeight="true" outlineLevel="0" collapsed="false">
      <c r="A765" s="1" t="n">
        <v>759</v>
      </c>
      <c r="B765" s="10" t="n">
        <f aca="false">A765/$B$4</f>
        <v>50.6</v>
      </c>
      <c r="C765" s="11" t="n">
        <f aca="false">B765*'Karnataka Fuel Rates'!$B$9</f>
        <v>5633.1715</v>
      </c>
      <c r="D765" s="10" t="n">
        <f aca="false">A765/$D$4</f>
        <v>42.1666666666667</v>
      </c>
      <c r="E765" s="11" t="n">
        <f aca="false">D765*'Karnataka Fuel Rates'!$C$9</f>
        <v>4185.67416666667</v>
      </c>
    </row>
    <row r="766" customFormat="false" ht="15" hidden="false" customHeight="true" outlineLevel="0" collapsed="false">
      <c r="A766" s="1" t="n">
        <v>760</v>
      </c>
      <c r="B766" s="10" t="n">
        <f aca="false">A766/$B$4</f>
        <v>50.6666666666667</v>
      </c>
      <c r="C766" s="11" t="n">
        <f aca="false">B766*'Karnataka Fuel Rates'!$B$9</f>
        <v>5640.59333333333</v>
      </c>
      <c r="D766" s="10" t="n">
        <f aca="false">A766/$D$4</f>
        <v>42.2222222222222</v>
      </c>
      <c r="E766" s="11" t="n">
        <f aca="false">D766*'Karnataka Fuel Rates'!$C$9</f>
        <v>4191.18888888889</v>
      </c>
    </row>
    <row r="767" customFormat="false" ht="15" hidden="false" customHeight="true" outlineLevel="0" collapsed="false">
      <c r="A767" s="1" t="n">
        <v>761</v>
      </c>
      <c r="B767" s="10" t="n">
        <f aca="false">A767/$B$4</f>
        <v>50.7333333333333</v>
      </c>
      <c r="C767" s="11" t="n">
        <f aca="false">B767*'Karnataka Fuel Rates'!$B$9</f>
        <v>5648.01516666667</v>
      </c>
      <c r="D767" s="10" t="n">
        <f aca="false">A767/$D$4</f>
        <v>42.2777777777778</v>
      </c>
      <c r="E767" s="11" t="n">
        <f aca="false">D767*'Karnataka Fuel Rates'!$C$9</f>
        <v>4196.70361111111</v>
      </c>
    </row>
    <row r="768" customFormat="false" ht="15" hidden="false" customHeight="true" outlineLevel="0" collapsed="false">
      <c r="A768" s="1" t="n">
        <v>762</v>
      </c>
      <c r="B768" s="10" t="n">
        <f aca="false">A768/$B$4</f>
        <v>50.8</v>
      </c>
      <c r="C768" s="11" t="n">
        <f aca="false">B768*'Karnataka Fuel Rates'!$B$9</f>
        <v>5655.437</v>
      </c>
      <c r="D768" s="10" t="n">
        <f aca="false">A768/$D$4</f>
        <v>42.3333333333333</v>
      </c>
      <c r="E768" s="11" t="n">
        <f aca="false">D768*'Karnataka Fuel Rates'!$C$9</f>
        <v>4202.21833333333</v>
      </c>
    </row>
    <row r="769" customFormat="false" ht="15" hidden="false" customHeight="true" outlineLevel="0" collapsed="false">
      <c r="A769" s="1" t="n">
        <v>763</v>
      </c>
      <c r="B769" s="10" t="n">
        <f aca="false">A769/$B$4</f>
        <v>50.8666666666667</v>
      </c>
      <c r="C769" s="11" t="n">
        <f aca="false">B769*'Karnataka Fuel Rates'!$B$9</f>
        <v>5662.85883333333</v>
      </c>
      <c r="D769" s="10" t="n">
        <f aca="false">A769/$D$4</f>
        <v>42.3888888888889</v>
      </c>
      <c r="E769" s="11" t="n">
        <f aca="false">D769*'Karnataka Fuel Rates'!$C$9</f>
        <v>4207.73305555556</v>
      </c>
    </row>
    <row r="770" customFormat="false" ht="15" hidden="false" customHeight="true" outlineLevel="0" collapsed="false">
      <c r="A770" s="1" t="n">
        <v>764</v>
      </c>
      <c r="B770" s="10" t="n">
        <f aca="false">A770/$B$4</f>
        <v>50.9333333333333</v>
      </c>
      <c r="C770" s="11" t="n">
        <f aca="false">B770*'Karnataka Fuel Rates'!$B$9</f>
        <v>5670.28066666667</v>
      </c>
      <c r="D770" s="10" t="n">
        <f aca="false">A770/$D$4</f>
        <v>42.4444444444444</v>
      </c>
      <c r="E770" s="11" t="n">
        <f aca="false">D770*'Karnataka Fuel Rates'!$C$9</f>
        <v>4213.24777777778</v>
      </c>
    </row>
    <row r="771" customFormat="false" ht="15" hidden="false" customHeight="true" outlineLevel="0" collapsed="false">
      <c r="A771" s="1" t="n">
        <v>765</v>
      </c>
      <c r="B771" s="10" t="n">
        <f aca="false">A771/$B$4</f>
        <v>51</v>
      </c>
      <c r="C771" s="11" t="n">
        <f aca="false">B771*'Karnataka Fuel Rates'!$B$9</f>
        <v>5677.7025</v>
      </c>
      <c r="D771" s="10" t="n">
        <f aca="false">A771/$D$4</f>
        <v>42.5</v>
      </c>
      <c r="E771" s="11" t="n">
        <f aca="false">D771*'Karnataka Fuel Rates'!$C$9</f>
        <v>4218.7625</v>
      </c>
    </row>
    <row r="772" customFormat="false" ht="15" hidden="false" customHeight="true" outlineLevel="0" collapsed="false">
      <c r="A772" s="1" t="n">
        <v>766</v>
      </c>
      <c r="B772" s="10" t="n">
        <f aca="false">A772/$B$4</f>
        <v>51.0666666666667</v>
      </c>
      <c r="C772" s="11" t="n">
        <f aca="false">B772*'Karnataka Fuel Rates'!$B$9</f>
        <v>5685.12433333333</v>
      </c>
      <c r="D772" s="10" t="n">
        <f aca="false">A772/$D$4</f>
        <v>42.5555555555556</v>
      </c>
      <c r="E772" s="11" t="n">
        <f aca="false">D772*'Karnataka Fuel Rates'!$C$9</f>
        <v>4224.27722222222</v>
      </c>
    </row>
    <row r="773" customFormat="false" ht="15" hidden="false" customHeight="true" outlineLevel="0" collapsed="false">
      <c r="A773" s="1" t="n">
        <v>767</v>
      </c>
      <c r="B773" s="10" t="n">
        <f aca="false">A773/$B$4</f>
        <v>51.1333333333333</v>
      </c>
      <c r="C773" s="11" t="n">
        <f aca="false">B773*'Karnataka Fuel Rates'!$B$9</f>
        <v>5692.54616666667</v>
      </c>
      <c r="D773" s="10" t="n">
        <f aca="false">A773/$D$4</f>
        <v>42.6111111111111</v>
      </c>
      <c r="E773" s="11" t="n">
        <f aca="false">D773*'Karnataka Fuel Rates'!$C$9</f>
        <v>4229.79194444445</v>
      </c>
    </row>
    <row r="774" customFormat="false" ht="15" hidden="false" customHeight="true" outlineLevel="0" collapsed="false">
      <c r="A774" s="1" t="n">
        <v>768</v>
      </c>
      <c r="B774" s="10" t="n">
        <f aca="false">A774/$B$4</f>
        <v>51.2</v>
      </c>
      <c r="C774" s="11" t="n">
        <f aca="false">B774*'Karnataka Fuel Rates'!$B$9</f>
        <v>5699.968</v>
      </c>
      <c r="D774" s="10" t="n">
        <f aca="false">A774/$D$4</f>
        <v>42.6666666666667</v>
      </c>
      <c r="E774" s="11" t="n">
        <f aca="false">D774*'Karnataka Fuel Rates'!$C$9</f>
        <v>4235.30666666667</v>
      </c>
    </row>
    <row r="775" customFormat="false" ht="15" hidden="false" customHeight="true" outlineLevel="0" collapsed="false">
      <c r="A775" s="1" t="n">
        <v>769</v>
      </c>
      <c r="B775" s="10" t="n">
        <f aca="false">A775/$B$4</f>
        <v>51.2666666666667</v>
      </c>
      <c r="C775" s="11" t="n">
        <f aca="false">B775*'Karnataka Fuel Rates'!$B$9</f>
        <v>5707.38983333333</v>
      </c>
      <c r="D775" s="10" t="n">
        <f aca="false">A775/$D$4</f>
        <v>42.7222222222222</v>
      </c>
      <c r="E775" s="11" t="n">
        <f aca="false">D775*'Karnataka Fuel Rates'!$C$9</f>
        <v>4240.82138888889</v>
      </c>
    </row>
    <row r="776" customFormat="false" ht="15" hidden="false" customHeight="true" outlineLevel="0" collapsed="false">
      <c r="A776" s="1" t="n">
        <v>770</v>
      </c>
      <c r="B776" s="10" t="n">
        <f aca="false">A776/$B$4</f>
        <v>51.3333333333333</v>
      </c>
      <c r="C776" s="11" t="n">
        <f aca="false">B776*'Karnataka Fuel Rates'!$B$9</f>
        <v>5714.81166666667</v>
      </c>
      <c r="D776" s="10" t="n">
        <f aca="false">A776/$D$4</f>
        <v>42.7777777777778</v>
      </c>
      <c r="E776" s="11" t="n">
        <f aca="false">D776*'Karnataka Fuel Rates'!$C$9</f>
        <v>4246.33611111111</v>
      </c>
    </row>
    <row r="777" customFormat="false" ht="15" hidden="false" customHeight="true" outlineLevel="0" collapsed="false">
      <c r="A777" s="1" t="n">
        <v>771</v>
      </c>
      <c r="B777" s="10" t="n">
        <f aca="false">A777/$B$4</f>
        <v>51.4</v>
      </c>
      <c r="C777" s="11" t="n">
        <f aca="false">B777*'Karnataka Fuel Rates'!$B$9</f>
        <v>5722.2335</v>
      </c>
      <c r="D777" s="10" t="n">
        <f aca="false">A777/$D$4</f>
        <v>42.8333333333333</v>
      </c>
      <c r="E777" s="11" t="n">
        <f aca="false">D777*'Karnataka Fuel Rates'!$C$9</f>
        <v>4251.85083333333</v>
      </c>
    </row>
    <row r="778" customFormat="false" ht="15" hidden="false" customHeight="true" outlineLevel="0" collapsed="false">
      <c r="A778" s="1" t="n">
        <v>772</v>
      </c>
      <c r="B778" s="10" t="n">
        <f aca="false">A778/$B$4</f>
        <v>51.4666666666667</v>
      </c>
      <c r="C778" s="11" t="n">
        <f aca="false">B778*'Karnataka Fuel Rates'!$B$9</f>
        <v>5729.65533333333</v>
      </c>
      <c r="D778" s="10" t="n">
        <f aca="false">A778/$D$4</f>
        <v>42.8888888888889</v>
      </c>
      <c r="E778" s="11" t="n">
        <f aca="false">D778*'Karnataka Fuel Rates'!$C$9</f>
        <v>4257.36555555556</v>
      </c>
    </row>
    <row r="779" customFormat="false" ht="15" hidden="false" customHeight="true" outlineLevel="0" collapsed="false">
      <c r="A779" s="1" t="n">
        <v>773</v>
      </c>
      <c r="B779" s="10" t="n">
        <f aca="false">A779/$B$4</f>
        <v>51.5333333333333</v>
      </c>
      <c r="C779" s="11" t="n">
        <f aca="false">B779*'Karnataka Fuel Rates'!$B$9</f>
        <v>5737.07716666667</v>
      </c>
      <c r="D779" s="10" t="n">
        <f aca="false">A779/$D$4</f>
        <v>42.9444444444444</v>
      </c>
      <c r="E779" s="11" t="n">
        <f aca="false">D779*'Karnataka Fuel Rates'!$C$9</f>
        <v>4262.88027777778</v>
      </c>
    </row>
    <row r="780" customFormat="false" ht="15" hidden="false" customHeight="true" outlineLevel="0" collapsed="false">
      <c r="A780" s="1" t="n">
        <v>774</v>
      </c>
      <c r="B780" s="10" t="n">
        <f aca="false">A780/$B$4</f>
        <v>51.6</v>
      </c>
      <c r="C780" s="11" t="n">
        <f aca="false">B780*'Karnataka Fuel Rates'!$B$9</f>
        <v>5744.499</v>
      </c>
      <c r="D780" s="10" t="n">
        <f aca="false">A780/$D$4</f>
        <v>43</v>
      </c>
      <c r="E780" s="11" t="n">
        <f aca="false">D780*'Karnataka Fuel Rates'!$C$9</f>
        <v>4268.395</v>
      </c>
    </row>
    <row r="781" customFormat="false" ht="15" hidden="false" customHeight="true" outlineLevel="0" collapsed="false">
      <c r="A781" s="1" t="n">
        <v>775</v>
      </c>
      <c r="B781" s="10" t="n">
        <f aca="false">A781/$B$4</f>
        <v>51.6666666666667</v>
      </c>
      <c r="C781" s="11" t="n">
        <f aca="false">B781*'Karnataka Fuel Rates'!$B$9</f>
        <v>5751.92083333333</v>
      </c>
      <c r="D781" s="10" t="n">
        <f aca="false">A781/$D$4</f>
        <v>43.0555555555556</v>
      </c>
      <c r="E781" s="11" t="n">
        <f aca="false">D781*'Karnataka Fuel Rates'!$C$9</f>
        <v>4273.90972222222</v>
      </c>
    </row>
    <row r="782" customFormat="false" ht="15" hidden="false" customHeight="true" outlineLevel="0" collapsed="false">
      <c r="A782" s="1" t="n">
        <v>776</v>
      </c>
      <c r="B782" s="10" t="n">
        <f aca="false">A782/$B$4</f>
        <v>51.7333333333333</v>
      </c>
      <c r="C782" s="11" t="n">
        <f aca="false">B782*'Karnataka Fuel Rates'!$B$9</f>
        <v>5759.34266666667</v>
      </c>
      <c r="D782" s="10" t="n">
        <f aca="false">A782/$D$4</f>
        <v>43.1111111111111</v>
      </c>
      <c r="E782" s="11" t="n">
        <f aca="false">D782*'Karnataka Fuel Rates'!$C$9</f>
        <v>4279.42444444445</v>
      </c>
    </row>
    <row r="783" customFormat="false" ht="15" hidden="false" customHeight="true" outlineLevel="0" collapsed="false">
      <c r="A783" s="1" t="n">
        <v>777</v>
      </c>
      <c r="B783" s="10" t="n">
        <f aca="false">A783/$B$4</f>
        <v>51.8</v>
      </c>
      <c r="C783" s="11" t="n">
        <f aca="false">B783*'Karnataka Fuel Rates'!$B$9</f>
        <v>5766.7645</v>
      </c>
      <c r="D783" s="10" t="n">
        <f aca="false">A783/$D$4</f>
        <v>43.1666666666667</v>
      </c>
      <c r="E783" s="11" t="n">
        <f aca="false">D783*'Karnataka Fuel Rates'!$C$9</f>
        <v>4284.93916666667</v>
      </c>
    </row>
    <row r="784" customFormat="false" ht="15" hidden="false" customHeight="true" outlineLevel="0" collapsed="false">
      <c r="A784" s="1" t="n">
        <v>778</v>
      </c>
      <c r="B784" s="10" t="n">
        <f aca="false">A784/$B$4</f>
        <v>51.8666666666667</v>
      </c>
      <c r="C784" s="11" t="n">
        <f aca="false">B784*'Karnataka Fuel Rates'!$B$9</f>
        <v>5774.18633333333</v>
      </c>
      <c r="D784" s="10" t="n">
        <f aca="false">A784/$D$4</f>
        <v>43.2222222222222</v>
      </c>
      <c r="E784" s="11" t="n">
        <f aca="false">D784*'Karnataka Fuel Rates'!$C$9</f>
        <v>4290.45388888889</v>
      </c>
    </row>
    <row r="785" customFormat="false" ht="15" hidden="false" customHeight="true" outlineLevel="0" collapsed="false">
      <c r="A785" s="1" t="n">
        <v>779</v>
      </c>
      <c r="B785" s="10" t="n">
        <f aca="false">A785/$B$4</f>
        <v>51.9333333333333</v>
      </c>
      <c r="C785" s="11" t="n">
        <f aca="false">B785*'Karnataka Fuel Rates'!$B$9</f>
        <v>5781.60816666667</v>
      </c>
      <c r="D785" s="10" t="n">
        <f aca="false">A785/$D$4</f>
        <v>43.2777777777778</v>
      </c>
      <c r="E785" s="11" t="n">
        <f aca="false">D785*'Karnataka Fuel Rates'!$C$9</f>
        <v>4295.96861111111</v>
      </c>
    </row>
    <row r="786" customFormat="false" ht="15" hidden="false" customHeight="true" outlineLevel="0" collapsed="false">
      <c r="A786" s="1" t="n">
        <v>780</v>
      </c>
      <c r="B786" s="10" t="n">
        <f aca="false">A786/$B$4</f>
        <v>52</v>
      </c>
      <c r="C786" s="11" t="n">
        <f aca="false">B786*'Karnataka Fuel Rates'!$B$9</f>
        <v>5789.03</v>
      </c>
      <c r="D786" s="10" t="n">
        <f aca="false">A786/$D$4</f>
        <v>43.3333333333333</v>
      </c>
      <c r="E786" s="11" t="n">
        <f aca="false">D786*'Karnataka Fuel Rates'!$C$9</f>
        <v>4301.48333333333</v>
      </c>
    </row>
    <row r="787" customFormat="false" ht="15" hidden="false" customHeight="true" outlineLevel="0" collapsed="false">
      <c r="A787" s="1" t="n">
        <v>781</v>
      </c>
      <c r="B787" s="10" t="n">
        <f aca="false">A787/$B$4</f>
        <v>52.0666666666667</v>
      </c>
      <c r="C787" s="11" t="n">
        <f aca="false">B787*'Karnataka Fuel Rates'!$B$9</f>
        <v>5796.45183333333</v>
      </c>
      <c r="D787" s="10" t="n">
        <f aca="false">A787/$D$4</f>
        <v>43.3888888888889</v>
      </c>
      <c r="E787" s="11" t="n">
        <f aca="false">D787*'Karnataka Fuel Rates'!$C$9</f>
        <v>4306.99805555556</v>
      </c>
    </row>
    <row r="788" customFormat="false" ht="15" hidden="false" customHeight="true" outlineLevel="0" collapsed="false">
      <c r="A788" s="1" t="n">
        <v>782</v>
      </c>
      <c r="B788" s="10" t="n">
        <f aca="false">A788/$B$4</f>
        <v>52.1333333333333</v>
      </c>
      <c r="C788" s="11" t="n">
        <f aca="false">B788*'Karnataka Fuel Rates'!$B$9</f>
        <v>5803.87366666667</v>
      </c>
      <c r="D788" s="10" t="n">
        <f aca="false">A788/$D$4</f>
        <v>43.4444444444444</v>
      </c>
      <c r="E788" s="11" t="n">
        <f aca="false">D788*'Karnataka Fuel Rates'!$C$9</f>
        <v>4312.51277777778</v>
      </c>
    </row>
    <row r="789" customFormat="false" ht="15" hidden="false" customHeight="true" outlineLevel="0" collapsed="false">
      <c r="A789" s="1" t="n">
        <v>783</v>
      </c>
      <c r="B789" s="10" t="n">
        <f aca="false">A789/$B$4</f>
        <v>52.2</v>
      </c>
      <c r="C789" s="11" t="n">
        <f aca="false">B789*'Karnataka Fuel Rates'!$B$9</f>
        <v>5811.2955</v>
      </c>
      <c r="D789" s="10" t="n">
        <f aca="false">A789/$D$4</f>
        <v>43.5</v>
      </c>
      <c r="E789" s="11" t="n">
        <f aca="false">D789*'Karnataka Fuel Rates'!$C$9</f>
        <v>4318.0275</v>
      </c>
    </row>
    <row r="790" customFormat="false" ht="15" hidden="false" customHeight="true" outlineLevel="0" collapsed="false">
      <c r="A790" s="1" t="n">
        <v>784</v>
      </c>
      <c r="B790" s="10" t="n">
        <f aca="false">A790/$B$4</f>
        <v>52.2666666666667</v>
      </c>
      <c r="C790" s="11" t="n">
        <f aca="false">B790*'Karnataka Fuel Rates'!$B$9</f>
        <v>5818.71733333333</v>
      </c>
      <c r="D790" s="10" t="n">
        <f aca="false">A790/$D$4</f>
        <v>43.5555555555556</v>
      </c>
      <c r="E790" s="11" t="n">
        <f aca="false">D790*'Karnataka Fuel Rates'!$C$9</f>
        <v>4323.54222222222</v>
      </c>
    </row>
    <row r="791" customFormat="false" ht="15" hidden="false" customHeight="true" outlineLevel="0" collapsed="false">
      <c r="A791" s="1" t="n">
        <v>785</v>
      </c>
      <c r="B791" s="10" t="n">
        <f aca="false">A791/$B$4</f>
        <v>52.3333333333333</v>
      </c>
      <c r="C791" s="11" t="n">
        <f aca="false">B791*'Karnataka Fuel Rates'!$B$9</f>
        <v>5826.13916666667</v>
      </c>
      <c r="D791" s="10" t="n">
        <f aca="false">A791/$D$4</f>
        <v>43.6111111111111</v>
      </c>
      <c r="E791" s="11" t="n">
        <f aca="false">D791*'Karnataka Fuel Rates'!$C$9</f>
        <v>4329.05694444444</v>
      </c>
    </row>
    <row r="792" customFormat="false" ht="15" hidden="false" customHeight="true" outlineLevel="0" collapsed="false">
      <c r="A792" s="1" t="n">
        <v>786</v>
      </c>
      <c r="B792" s="10" t="n">
        <f aca="false">A792/$B$4</f>
        <v>52.4</v>
      </c>
      <c r="C792" s="11" t="n">
        <f aca="false">B792*'Karnataka Fuel Rates'!$B$9</f>
        <v>5833.561</v>
      </c>
      <c r="D792" s="10" t="n">
        <f aca="false">A792/$D$4</f>
        <v>43.6666666666667</v>
      </c>
      <c r="E792" s="11" t="n">
        <f aca="false">D792*'Karnataka Fuel Rates'!$C$9</f>
        <v>4334.57166666667</v>
      </c>
    </row>
    <row r="793" customFormat="false" ht="15" hidden="false" customHeight="true" outlineLevel="0" collapsed="false">
      <c r="A793" s="1" t="n">
        <v>787</v>
      </c>
      <c r="B793" s="10" t="n">
        <f aca="false">A793/$B$4</f>
        <v>52.4666666666667</v>
      </c>
      <c r="C793" s="11" t="n">
        <f aca="false">B793*'Karnataka Fuel Rates'!$B$9</f>
        <v>5840.98283333333</v>
      </c>
      <c r="D793" s="10" t="n">
        <f aca="false">A793/$D$4</f>
        <v>43.7222222222222</v>
      </c>
      <c r="E793" s="11" t="n">
        <f aca="false">D793*'Karnataka Fuel Rates'!$C$9</f>
        <v>4340.08638888889</v>
      </c>
    </row>
    <row r="794" customFormat="false" ht="15" hidden="false" customHeight="true" outlineLevel="0" collapsed="false">
      <c r="A794" s="1" t="n">
        <v>788</v>
      </c>
      <c r="B794" s="10" t="n">
        <f aca="false">A794/$B$4</f>
        <v>52.5333333333333</v>
      </c>
      <c r="C794" s="11" t="n">
        <f aca="false">B794*'Karnataka Fuel Rates'!$B$9</f>
        <v>5848.40466666667</v>
      </c>
      <c r="D794" s="10" t="n">
        <f aca="false">A794/$D$4</f>
        <v>43.7777777777778</v>
      </c>
      <c r="E794" s="11" t="n">
        <f aca="false">D794*'Karnataka Fuel Rates'!$C$9</f>
        <v>4345.60111111111</v>
      </c>
    </row>
    <row r="795" customFormat="false" ht="15" hidden="false" customHeight="true" outlineLevel="0" collapsed="false">
      <c r="A795" s="1" t="n">
        <v>789</v>
      </c>
      <c r="B795" s="10" t="n">
        <f aca="false">A795/$B$4</f>
        <v>52.6</v>
      </c>
      <c r="C795" s="11" t="n">
        <f aca="false">B795*'Karnataka Fuel Rates'!$B$9</f>
        <v>5855.8265</v>
      </c>
      <c r="D795" s="10" t="n">
        <f aca="false">A795/$D$4</f>
        <v>43.8333333333333</v>
      </c>
      <c r="E795" s="11" t="n">
        <f aca="false">D795*'Karnataka Fuel Rates'!$C$9</f>
        <v>4351.11583333333</v>
      </c>
    </row>
    <row r="796" customFormat="false" ht="15" hidden="false" customHeight="true" outlineLevel="0" collapsed="false">
      <c r="A796" s="1" t="n">
        <v>790</v>
      </c>
      <c r="B796" s="10" t="n">
        <f aca="false">A796/$B$4</f>
        <v>52.6666666666667</v>
      </c>
      <c r="C796" s="11" t="n">
        <f aca="false">B796*'Karnataka Fuel Rates'!$B$9</f>
        <v>5863.24833333333</v>
      </c>
      <c r="D796" s="10" t="n">
        <f aca="false">A796/$D$4</f>
        <v>43.8888888888889</v>
      </c>
      <c r="E796" s="11" t="n">
        <f aca="false">D796*'Karnataka Fuel Rates'!$C$9</f>
        <v>4356.63055555556</v>
      </c>
    </row>
    <row r="797" customFormat="false" ht="15" hidden="false" customHeight="true" outlineLevel="0" collapsed="false">
      <c r="A797" s="1" t="n">
        <v>791</v>
      </c>
      <c r="B797" s="10" t="n">
        <f aca="false">A797/$B$4</f>
        <v>52.7333333333333</v>
      </c>
      <c r="C797" s="11" t="n">
        <f aca="false">B797*'Karnataka Fuel Rates'!$B$9</f>
        <v>5870.67016666667</v>
      </c>
      <c r="D797" s="10" t="n">
        <f aca="false">A797/$D$4</f>
        <v>43.9444444444444</v>
      </c>
      <c r="E797" s="11" t="n">
        <f aca="false">D797*'Karnataka Fuel Rates'!$C$9</f>
        <v>4362.14527777778</v>
      </c>
    </row>
    <row r="798" customFormat="false" ht="15" hidden="false" customHeight="true" outlineLevel="0" collapsed="false">
      <c r="A798" s="1" t="n">
        <v>792</v>
      </c>
      <c r="B798" s="10" t="n">
        <f aca="false">A798/$B$4</f>
        <v>52.8</v>
      </c>
      <c r="C798" s="11" t="n">
        <f aca="false">B798*'Karnataka Fuel Rates'!$B$9</f>
        <v>5878.092</v>
      </c>
      <c r="D798" s="10" t="n">
        <f aca="false">A798/$D$4</f>
        <v>44</v>
      </c>
      <c r="E798" s="11" t="n">
        <f aca="false">D798*'Karnataka Fuel Rates'!$C$9</f>
        <v>4367.66</v>
      </c>
    </row>
    <row r="799" customFormat="false" ht="15" hidden="false" customHeight="true" outlineLevel="0" collapsed="false">
      <c r="A799" s="1" t="n">
        <v>793</v>
      </c>
      <c r="B799" s="10" t="n">
        <f aca="false">A799/$B$4</f>
        <v>52.8666666666667</v>
      </c>
      <c r="C799" s="11" t="n">
        <f aca="false">B799*'Karnataka Fuel Rates'!$B$9</f>
        <v>5885.51383333333</v>
      </c>
      <c r="D799" s="10" t="n">
        <f aca="false">A799/$D$4</f>
        <v>44.0555555555556</v>
      </c>
      <c r="E799" s="11" t="n">
        <f aca="false">D799*'Karnataka Fuel Rates'!$C$9</f>
        <v>4373.17472222222</v>
      </c>
    </row>
    <row r="800" customFormat="false" ht="15" hidden="false" customHeight="true" outlineLevel="0" collapsed="false">
      <c r="A800" s="1" t="n">
        <v>794</v>
      </c>
      <c r="B800" s="10" t="n">
        <f aca="false">A800/$B$4</f>
        <v>52.9333333333333</v>
      </c>
      <c r="C800" s="11" t="n">
        <f aca="false">B800*'Karnataka Fuel Rates'!$B$9</f>
        <v>5892.93566666667</v>
      </c>
      <c r="D800" s="10" t="n">
        <f aca="false">A800/$D$4</f>
        <v>44.1111111111111</v>
      </c>
      <c r="E800" s="11" t="n">
        <f aca="false">D800*'Karnataka Fuel Rates'!$C$9</f>
        <v>4378.68944444445</v>
      </c>
    </row>
    <row r="801" customFormat="false" ht="15" hidden="false" customHeight="true" outlineLevel="0" collapsed="false">
      <c r="A801" s="1" t="n">
        <v>795</v>
      </c>
      <c r="B801" s="10" t="n">
        <f aca="false">A801/$B$4</f>
        <v>53</v>
      </c>
      <c r="C801" s="11" t="n">
        <f aca="false">B801*'Karnataka Fuel Rates'!$B$9</f>
        <v>5900.3575</v>
      </c>
      <c r="D801" s="10" t="n">
        <f aca="false">A801/$D$4</f>
        <v>44.1666666666667</v>
      </c>
      <c r="E801" s="11" t="n">
        <f aca="false">D801*'Karnataka Fuel Rates'!$C$9</f>
        <v>4384.20416666667</v>
      </c>
    </row>
    <row r="802" customFormat="false" ht="15" hidden="false" customHeight="true" outlineLevel="0" collapsed="false">
      <c r="A802" s="1" t="n">
        <v>796</v>
      </c>
      <c r="B802" s="10" t="n">
        <f aca="false">A802/$B$4</f>
        <v>53.0666666666667</v>
      </c>
      <c r="C802" s="11" t="n">
        <f aca="false">B802*'Karnataka Fuel Rates'!$B$9</f>
        <v>5907.77933333333</v>
      </c>
      <c r="D802" s="10" t="n">
        <f aca="false">A802/$D$4</f>
        <v>44.2222222222222</v>
      </c>
      <c r="E802" s="11" t="n">
        <f aca="false">D802*'Karnataka Fuel Rates'!$C$9</f>
        <v>4389.71888888889</v>
      </c>
    </row>
    <row r="803" customFormat="false" ht="15" hidden="false" customHeight="true" outlineLevel="0" collapsed="false">
      <c r="A803" s="1" t="n">
        <v>797</v>
      </c>
      <c r="B803" s="10" t="n">
        <f aca="false">A803/$B$4</f>
        <v>53.1333333333333</v>
      </c>
      <c r="C803" s="11" t="n">
        <f aca="false">B803*'Karnataka Fuel Rates'!$B$9</f>
        <v>5915.20116666667</v>
      </c>
      <c r="D803" s="10" t="n">
        <f aca="false">A803/$D$4</f>
        <v>44.2777777777778</v>
      </c>
      <c r="E803" s="11" t="n">
        <f aca="false">D803*'Karnataka Fuel Rates'!$C$9</f>
        <v>4395.23361111111</v>
      </c>
    </row>
    <row r="804" customFormat="false" ht="15" hidden="false" customHeight="true" outlineLevel="0" collapsed="false">
      <c r="A804" s="1" t="n">
        <v>798</v>
      </c>
      <c r="B804" s="10" t="n">
        <f aca="false">A804/$B$4</f>
        <v>53.2</v>
      </c>
      <c r="C804" s="11" t="n">
        <f aca="false">B804*'Karnataka Fuel Rates'!$B$9</f>
        <v>5922.623</v>
      </c>
      <c r="D804" s="10" t="n">
        <f aca="false">A804/$D$4</f>
        <v>44.3333333333333</v>
      </c>
      <c r="E804" s="11" t="n">
        <f aca="false">D804*'Karnataka Fuel Rates'!$C$9</f>
        <v>4400.74833333333</v>
      </c>
    </row>
    <row r="805" customFormat="false" ht="15" hidden="false" customHeight="true" outlineLevel="0" collapsed="false">
      <c r="A805" s="1" t="n">
        <v>799</v>
      </c>
      <c r="B805" s="10" t="n">
        <f aca="false">A805/$B$4</f>
        <v>53.2666666666667</v>
      </c>
      <c r="C805" s="11" t="n">
        <f aca="false">B805*'Karnataka Fuel Rates'!$B$9</f>
        <v>5930.04483333333</v>
      </c>
      <c r="D805" s="10" t="n">
        <f aca="false">A805/$D$4</f>
        <v>44.3888888888889</v>
      </c>
      <c r="E805" s="11" t="n">
        <f aca="false">D805*'Karnataka Fuel Rates'!$C$9</f>
        <v>4406.26305555556</v>
      </c>
    </row>
    <row r="806" customFormat="false" ht="15" hidden="false" customHeight="true" outlineLevel="0" collapsed="false">
      <c r="A806" s="1" t="n">
        <v>800</v>
      </c>
      <c r="B806" s="10" t="n">
        <f aca="false">A806/$B$4</f>
        <v>53.3333333333333</v>
      </c>
      <c r="C806" s="11" t="n">
        <f aca="false">B806*'Karnataka Fuel Rates'!$B$9</f>
        <v>5937.46666666667</v>
      </c>
      <c r="D806" s="10" t="n">
        <f aca="false">A806/$D$4</f>
        <v>44.4444444444444</v>
      </c>
      <c r="E806" s="11" t="n">
        <f aca="false">D806*'Karnataka Fuel Rates'!$C$9</f>
        <v>4411.77777777778</v>
      </c>
    </row>
    <row r="807" customFormat="false" ht="15" hidden="false" customHeight="true" outlineLevel="0" collapsed="false">
      <c r="A807" s="1" t="n">
        <v>801</v>
      </c>
      <c r="B807" s="10" t="n">
        <f aca="false">A807/$B$4</f>
        <v>53.4</v>
      </c>
      <c r="C807" s="11" t="n">
        <f aca="false">B807*'Karnataka Fuel Rates'!$B$9</f>
        <v>5944.8885</v>
      </c>
      <c r="D807" s="10" t="n">
        <f aca="false">A807/$D$4</f>
        <v>44.5</v>
      </c>
      <c r="E807" s="11" t="n">
        <f aca="false">D807*'Karnataka Fuel Rates'!$C$9</f>
        <v>4417.2925</v>
      </c>
    </row>
    <row r="808" customFormat="false" ht="15" hidden="false" customHeight="true" outlineLevel="0" collapsed="false">
      <c r="A808" s="1" t="n">
        <v>802</v>
      </c>
      <c r="B808" s="10" t="n">
        <f aca="false">A808/$B$4</f>
        <v>53.4666666666667</v>
      </c>
      <c r="C808" s="11" t="n">
        <f aca="false">B808*'Karnataka Fuel Rates'!$B$9</f>
        <v>5952.31033333333</v>
      </c>
      <c r="D808" s="10" t="n">
        <f aca="false">A808/$D$4</f>
        <v>44.5555555555556</v>
      </c>
      <c r="E808" s="11" t="n">
        <f aca="false">D808*'Karnataka Fuel Rates'!$C$9</f>
        <v>4422.80722222222</v>
      </c>
    </row>
    <row r="809" customFormat="false" ht="15" hidden="false" customHeight="true" outlineLevel="0" collapsed="false">
      <c r="A809" s="1" t="n">
        <v>803</v>
      </c>
      <c r="B809" s="10" t="n">
        <f aca="false">A809/$B$4</f>
        <v>53.5333333333333</v>
      </c>
      <c r="C809" s="11" t="n">
        <f aca="false">B809*'Karnataka Fuel Rates'!$B$9</f>
        <v>5959.73216666667</v>
      </c>
      <c r="D809" s="10" t="n">
        <f aca="false">A809/$D$4</f>
        <v>44.6111111111111</v>
      </c>
      <c r="E809" s="11" t="n">
        <f aca="false">D809*'Karnataka Fuel Rates'!$C$9</f>
        <v>4428.32194444445</v>
      </c>
    </row>
    <row r="810" customFormat="false" ht="15" hidden="false" customHeight="true" outlineLevel="0" collapsed="false">
      <c r="A810" s="1" t="n">
        <v>804</v>
      </c>
      <c r="B810" s="10" t="n">
        <f aca="false">A810/$B$4</f>
        <v>53.6</v>
      </c>
      <c r="C810" s="11" t="n">
        <f aca="false">B810*'Karnataka Fuel Rates'!$B$9</f>
        <v>5967.154</v>
      </c>
      <c r="D810" s="10" t="n">
        <f aca="false">A810/$D$4</f>
        <v>44.6666666666667</v>
      </c>
      <c r="E810" s="11" t="n">
        <f aca="false">D810*'Karnataka Fuel Rates'!$C$9</f>
        <v>4433.83666666667</v>
      </c>
    </row>
    <row r="811" customFormat="false" ht="15" hidden="false" customHeight="true" outlineLevel="0" collapsed="false">
      <c r="A811" s="1" t="n">
        <v>805</v>
      </c>
      <c r="B811" s="10" t="n">
        <f aca="false">A811/$B$4</f>
        <v>53.6666666666667</v>
      </c>
      <c r="C811" s="11" t="n">
        <f aca="false">B811*'Karnataka Fuel Rates'!$B$9</f>
        <v>5974.57583333333</v>
      </c>
      <c r="D811" s="10" t="n">
        <f aca="false">A811/$D$4</f>
        <v>44.7222222222222</v>
      </c>
      <c r="E811" s="11" t="n">
        <f aca="false">D811*'Karnataka Fuel Rates'!$C$9</f>
        <v>4439.35138888889</v>
      </c>
    </row>
    <row r="812" customFormat="false" ht="15" hidden="false" customHeight="true" outlineLevel="0" collapsed="false">
      <c r="A812" s="1" t="n">
        <v>806</v>
      </c>
      <c r="B812" s="10" t="n">
        <f aca="false">A812/$B$4</f>
        <v>53.7333333333333</v>
      </c>
      <c r="C812" s="11" t="n">
        <f aca="false">B812*'Karnataka Fuel Rates'!$B$9</f>
        <v>5981.99766666667</v>
      </c>
      <c r="D812" s="10" t="n">
        <f aca="false">A812/$D$4</f>
        <v>44.7777777777778</v>
      </c>
      <c r="E812" s="11" t="n">
        <f aca="false">D812*'Karnataka Fuel Rates'!$C$9</f>
        <v>4444.86611111111</v>
      </c>
    </row>
    <row r="813" customFormat="false" ht="15" hidden="false" customHeight="true" outlineLevel="0" collapsed="false">
      <c r="A813" s="1" t="n">
        <v>807</v>
      </c>
      <c r="B813" s="10" t="n">
        <f aca="false">A813/$B$4</f>
        <v>53.8</v>
      </c>
      <c r="C813" s="11" t="n">
        <f aca="false">B813*'Karnataka Fuel Rates'!$B$9</f>
        <v>5989.4195</v>
      </c>
      <c r="D813" s="10" t="n">
        <f aca="false">A813/$D$4</f>
        <v>44.8333333333333</v>
      </c>
      <c r="E813" s="11" t="n">
        <f aca="false">D813*'Karnataka Fuel Rates'!$C$9</f>
        <v>4450.38083333333</v>
      </c>
    </row>
    <row r="814" customFormat="false" ht="15" hidden="false" customHeight="true" outlineLevel="0" collapsed="false">
      <c r="A814" s="1" t="n">
        <v>808</v>
      </c>
      <c r="B814" s="10" t="n">
        <f aca="false">A814/$B$4</f>
        <v>53.8666666666667</v>
      </c>
      <c r="C814" s="11" t="n">
        <f aca="false">B814*'Karnataka Fuel Rates'!$B$9</f>
        <v>5996.84133333333</v>
      </c>
      <c r="D814" s="10" t="n">
        <f aca="false">A814/$D$4</f>
        <v>44.8888888888889</v>
      </c>
      <c r="E814" s="11" t="n">
        <f aca="false">D814*'Karnataka Fuel Rates'!$C$9</f>
        <v>4455.89555555556</v>
      </c>
    </row>
    <row r="815" customFormat="false" ht="15" hidden="false" customHeight="true" outlineLevel="0" collapsed="false">
      <c r="A815" s="1" t="n">
        <v>809</v>
      </c>
      <c r="B815" s="10" t="n">
        <f aca="false">A815/$B$4</f>
        <v>53.9333333333333</v>
      </c>
      <c r="C815" s="11" t="n">
        <f aca="false">B815*'Karnataka Fuel Rates'!$B$9</f>
        <v>6004.26316666667</v>
      </c>
      <c r="D815" s="10" t="n">
        <f aca="false">A815/$D$4</f>
        <v>44.9444444444444</v>
      </c>
      <c r="E815" s="11" t="n">
        <f aca="false">D815*'Karnataka Fuel Rates'!$C$9</f>
        <v>4461.41027777778</v>
      </c>
    </row>
    <row r="816" customFormat="false" ht="15" hidden="false" customHeight="true" outlineLevel="0" collapsed="false">
      <c r="A816" s="1" t="n">
        <v>810</v>
      </c>
      <c r="B816" s="10" t="n">
        <f aca="false">A816/$B$4</f>
        <v>54</v>
      </c>
      <c r="C816" s="11" t="n">
        <f aca="false">B816*'Karnataka Fuel Rates'!$B$9</f>
        <v>6011.685</v>
      </c>
      <c r="D816" s="10" t="n">
        <f aca="false">A816/$D$4</f>
        <v>45</v>
      </c>
      <c r="E816" s="11" t="n">
        <f aca="false">D816*'Karnataka Fuel Rates'!$C$9</f>
        <v>4466.925</v>
      </c>
    </row>
    <row r="817" customFormat="false" ht="15" hidden="false" customHeight="true" outlineLevel="0" collapsed="false">
      <c r="A817" s="1" t="n">
        <v>811</v>
      </c>
      <c r="B817" s="10" t="n">
        <f aca="false">A817/$B$4</f>
        <v>54.0666666666667</v>
      </c>
      <c r="C817" s="11" t="n">
        <f aca="false">B817*'Karnataka Fuel Rates'!$B$9</f>
        <v>6019.10683333333</v>
      </c>
      <c r="D817" s="10" t="n">
        <f aca="false">A817/$D$4</f>
        <v>45.0555555555556</v>
      </c>
      <c r="E817" s="11" t="n">
        <f aca="false">D817*'Karnataka Fuel Rates'!$C$9</f>
        <v>4472.43972222222</v>
      </c>
    </row>
    <row r="818" customFormat="false" ht="15" hidden="false" customHeight="true" outlineLevel="0" collapsed="false">
      <c r="A818" s="1" t="n">
        <v>812</v>
      </c>
      <c r="B818" s="10" t="n">
        <f aca="false">A818/$B$4</f>
        <v>54.1333333333333</v>
      </c>
      <c r="C818" s="11" t="n">
        <f aca="false">B818*'Karnataka Fuel Rates'!$B$9</f>
        <v>6026.52866666667</v>
      </c>
      <c r="D818" s="10" t="n">
        <f aca="false">A818/$D$4</f>
        <v>45.1111111111111</v>
      </c>
      <c r="E818" s="11" t="n">
        <f aca="false">D818*'Karnataka Fuel Rates'!$C$9</f>
        <v>4477.95444444445</v>
      </c>
    </row>
    <row r="819" customFormat="false" ht="15" hidden="false" customHeight="true" outlineLevel="0" collapsed="false">
      <c r="A819" s="1" t="n">
        <v>813</v>
      </c>
      <c r="B819" s="10" t="n">
        <f aca="false">A819/$B$4</f>
        <v>54.2</v>
      </c>
      <c r="C819" s="11" t="n">
        <f aca="false">B819*'Karnataka Fuel Rates'!$B$9</f>
        <v>6033.9505</v>
      </c>
      <c r="D819" s="10" t="n">
        <f aca="false">A819/$D$4</f>
        <v>45.1666666666667</v>
      </c>
      <c r="E819" s="11" t="n">
        <f aca="false">D819*'Karnataka Fuel Rates'!$C$9</f>
        <v>4483.46916666667</v>
      </c>
    </row>
    <row r="820" customFormat="false" ht="15" hidden="false" customHeight="true" outlineLevel="0" collapsed="false">
      <c r="A820" s="1" t="n">
        <v>814</v>
      </c>
      <c r="B820" s="10" t="n">
        <f aca="false">A820/$B$4</f>
        <v>54.2666666666667</v>
      </c>
      <c r="C820" s="11" t="n">
        <f aca="false">B820*'Karnataka Fuel Rates'!$B$9</f>
        <v>6041.37233333333</v>
      </c>
      <c r="D820" s="10" t="n">
        <f aca="false">A820/$D$4</f>
        <v>45.2222222222222</v>
      </c>
      <c r="E820" s="11" t="n">
        <f aca="false">D820*'Karnataka Fuel Rates'!$C$9</f>
        <v>4488.98388888889</v>
      </c>
    </row>
    <row r="821" customFormat="false" ht="15" hidden="false" customHeight="true" outlineLevel="0" collapsed="false">
      <c r="A821" s="1" t="n">
        <v>815</v>
      </c>
      <c r="B821" s="10" t="n">
        <f aca="false">A821/$B$4</f>
        <v>54.3333333333333</v>
      </c>
      <c r="C821" s="11" t="n">
        <f aca="false">B821*'Karnataka Fuel Rates'!$B$9</f>
        <v>6048.79416666667</v>
      </c>
      <c r="D821" s="10" t="n">
        <f aca="false">A821/$D$4</f>
        <v>45.2777777777778</v>
      </c>
      <c r="E821" s="11" t="n">
        <f aca="false">D821*'Karnataka Fuel Rates'!$C$9</f>
        <v>4494.49861111111</v>
      </c>
    </row>
    <row r="822" customFormat="false" ht="15" hidden="false" customHeight="true" outlineLevel="0" collapsed="false">
      <c r="A822" s="1" t="n">
        <v>816</v>
      </c>
      <c r="B822" s="10" t="n">
        <f aca="false">A822/$B$4</f>
        <v>54.4</v>
      </c>
      <c r="C822" s="11" t="n">
        <f aca="false">B822*'Karnataka Fuel Rates'!$B$9</f>
        <v>6056.216</v>
      </c>
      <c r="D822" s="10" t="n">
        <f aca="false">A822/$D$4</f>
        <v>45.3333333333333</v>
      </c>
      <c r="E822" s="11" t="n">
        <f aca="false">D822*'Karnataka Fuel Rates'!$C$9</f>
        <v>4500.01333333333</v>
      </c>
    </row>
    <row r="823" customFormat="false" ht="15" hidden="false" customHeight="true" outlineLevel="0" collapsed="false">
      <c r="A823" s="1" t="n">
        <v>817</v>
      </c>
      <c r="B823" s="10" t="n">
        <f aca="false">A823/$B$4</f>
        <v>54.4666666666667</v>
      </c>
      <c r="C823" s="11" t="n">
        <f aca="false">B823*'Karnataka Fuel Rates'!$B$9</f>
        <v>6063.63783333333</v>
      </c>
      <c r="D823" s="10" t="n">
        <f aca="false">A823/$D$4</f>
        <v>45.3888888888889</v>
      </c>
      <c r="E823" s="11" t="n">
        <f aca="false">D823*'Karnataka Fuel Rates'!$C$9</f>
        <v>4505.52805555556</v>
      </c>
    </row>
    <row r="824" customFormat="false" ht="15" hidden="false" customHeight="true" outlineLevel="0" collapsed="false">
      <c r="A824" s="1" t="n">
        <v>818</v>
      </c>
      <c r="B824" s="10" t="n">
        <f aca="false">A824/$B$4</f>
        <v>54.5333333333333</v>
      </c>
      <c r="C824" s="11" t="n">
        <f aca="false">B824*'Karnataka Fuel Rates'!$B$9</f>
        <v>6071.05966666667</v>
      </c>
      <c r="D824" s="10" t="n">
        <f aca="false">A824/$D$4</f>
        <v>45.4444444444444</v>
      </c>
      <c r="E824" s="11" t="n">
        <f aca="false">D824*'Karnataka Fuel Rates'!$C$9</f>
        <v>4511.04277777778</v>
      </c>
    </row>
    <row r="825" customFormat="false" ht="15" hidden="false" customHeight="true" outlineLevel="0" collapsed="false">
      <c r="A825" s="1" t="n">
        <v>819</v>
      </c>
      <c r="B825" s="10" t="n">
        <f aca="false">A825/$B$4</f>
        <v>54.6</v>
      </c>
      <c r="C825" s="11" t="n">
        <f aca="false">B825*'Karnataka Fuel Rates'!$B$9</f>
        <v>6078.4815</v>
      </c>
      <c r="D825" s="10" t="n">
        <f aca="false">A825/$D$4</f>
        <v>45.5</v>
      </c>
      <c r="E825" s="11" t="n">
        <f aca="false">D825*'Karnataka Fuel Rates'!$C$9</f>
        <v>4516.5575</v>
      </c>
    </row>
    <row r="826" customFormat="false" ht="15" hidden="false" customHeight="true" outlineLevel="0" collapsed="false">
      <c r="A826" s="1" t="n">
        <v>820</v>
      </c>
      <c r="B826" s="10" t="n">
        <f aca="false">A826/$B$4</f>
        <v>54.6666666666667</v>
      </c>
      <c r="C826" s="11" t="n">
        <f aca="false">B826*'Karnataka Fuel Rates'!$B$9</f>
        <v>6085.90333333333</v>
      </c>
      <c r="D826" s="10" t="n">
        <f aca="false">A826/$D$4</f>
        <v>45.5555555555556</v>
      </c>
      <c r="E826" s="11" t="n">
        <f aca="false">D826*'Karnataka Fuel Rates'!$C$9</f>
        <v>4522.07222222222</v>
      </c>
    </row>
    <row r="827" customFormat="false" ht="15" hidden="false" customHeight="true" outlineLevel="0" collapsed="false">
      <c r="A827" s="1" t="n">
        <v>821</v>
      </c>
      <c r="B827" s="10" t="n">
        <f aca="false">A827/$B$4</f>
        <v>54.7333333333333</v>
      </c>
      <c r="C827" s="11" t="n">
        <f aca="false">B827*'Karnataka Fuel Rates'!$B$9</f>
        <v>6093.32516666667</v>
      </c>
      <c r="D827" s="10" t="n">
        <f aca="false">A827/$D$4</f>
        <v>45.6111111111111</v>
      </c>
      <c r="E827" s="11" t="n">
        <f aca="false">D827*'Karnataka Fuel Rates'!$C$9</f>
        <v>4527.58694444445</v>
      </c>
    </row>
    <row r="828" customFormat="false" ht="15" hidden="false" customHeight="true" outlineLevel="0" collapsed="false">
      <c r="A828" s="1" t="n">
        <v>822</v>
      </c>
      <c r="B828" s="10" t="n">
        <f aca="false">A828/$B$4</f>
        <v>54.8</v>
      </c>
      <c r="C828" s="11" t="n">
        <f aca="false">B828*'Karnataka Fuel Rates'!$B$9</f>
        <v>6100.747</v>
      </c>
      <c r="D828" s="10" t="n">
        <f aca="false">A828/$D$4</f>
        <v>45.6666666666667</v>
      </c>
      <c r="E828" s="11" t="n">
        <f aca="false">D828*'Karnataka Fuel Rates'!$C$9</f>
        <v>4533.10166666667</v>
      </c>
    </row>
    <row r="829" customFormat="false" ht="15" hidden="false" customHeight="true" outlineLevel="0" collapsed="false">
      <c r="A829" s="1" t="n">
        <v>823</v>
      </c>
      <c r="B829" s="10" t="n">
        <f aca="false">A829/$B$4</f>
        <v>54.8666666666667</v>
      </c>
      <c r="C829" s="11" t="n">
        <f aca="false">B829*'Karnataka Fuel Rates'!$B$9</f>
        <v>6108.16883333333</v>
      </c>
      <c r="D829" s="10" t="n">
        <f aca="false">A829/$D$4</f>
        <v>45.7222222222222</v>
      </c>
      <c r="E829" s="11" t="n">
        <f aca="false">D829*'Karnataka Fuel Rates'!$C$9</f>
        <v>4538.61638888889</v>
      </c>
    </row>
    <row r="830" customFormat="false" ht="15" hidden="false" customHeight="true" outlineLevel="0" collapsed="false">
      <c r="A830" s="1" t="n">
        <v>824</v>
      </c>
      <c r="B830" s="10" t="n">
        <f aca="false">A830/$B$4</f>
        <v>54.9333333333333</v>
      </c>
      <c r="C830" s="11" t="n">
        <f aca="false">B830*'Karnataka Fuel Rates'!$B$9</f>
        <v>6115.59066666667</v>
      </c>
      <c r="D830" s="10" t="n">
        <f aca="false">A830/$D$4</f>
        <v>45.7777777777778</v>
      </c>
      <c r="E830" s="11" t="n">
        <f aca="false">D830*'Karnataka Fuel Rates'!$C$9</f>
        <v>4544.13111111111</v>
      </c>
    </row>
    <row r="831" customFormat="false" ht="15" hidden="false" customHeight="true" outlineLevel="0" collapsed="false">
      <c r="A831" s="1" t="n">
        <v>825</v>
      </c>
      <c r="B831" s="10" t="n">
        <f aca="false">A831/$B$4</f>
        <v>55</v>
      </c>
      <c r="C831" s="11" t="n">
        <f aca="false">B831*'Karnataka Fuel Rates'!$B$9</f>
        <v>6123.0125</v>
      </c>
      <c r="D831" s="10" t="n">
        <f aca="false">A831/$D$4</f>
        <v>45.8333333333333</v>
      </c>
      <c r="E831" s="11" t="n">
        <f aca="false">D831*'Karnataka Fuel Rates'!$C$9</f>
        <v>4549.64583333333</v>
      </c>
    </row>
    <row r="832" customFormat="false" ht="15" hidden="false" customHeight="true" outlineLevel="0" collapsed="false">
      <c r="A832" s="1" t="n">
        <v>826</v>
      </c>
      <c r="B832" s="10" t="n">
        <f aca="false">A832/$B$4</f>
        <v>55.0666666666667</v>
      </c>
      <c r="C832" s="11" t="n">
        <f aca="false">B832*'Karnataka Fuel Rates'!$B$9</f>
        <v>6130.43433333333</v>
      </c>
      <c r="D832" s="10" t="n">
        <f aca="false">A832/$D$4</f>
        <v>45.8888888888889</v>
      </c>
      <c r="E832" s="11" t="n">
        <f aca="false">D832*'Karnataka Fuel Rates'!$C$9</f>
        <v>4555.16055555556</v>
      </c>
    </row>
    <row r="833" customFormat="false" ht="15" hidden="false" customHeight="true" outlineLevel="0" collapsed="false">
      <c r="A833" s="1" t="n">
        <v>827</v>
      </c>
      <c r="B833" s="10" t="n">
        <f aca="false">A833/$B$4</f>
        <v>55.1333333333333</v>
      </c>
      <c r="C833" s="11" t="n">
        <f aca="false">B833*'Karnataka Fuel Rates'!$B$9</f>
        <v>6137.85616666667</v>
      </c>
      <c r="D833" s="10" t="n">
        <f aca="false">A833/$D$4</f>
        <v>45.9444444444444</v>
      </c>
      <c r="E833" s="11" t="n">
        <f aca="false">D833*'Karnataka Fuel Rates'!$C$9</f>
        <v>4560.67527777778</v>
      </c>
    </row>
    <row r="834" customFormat="false" ht="15" hidden="false" customHeight="true" outlineLevel="0" collapsed="false">
      <c r="A834" s="1" t="n">
        <v>828</v>
      </c>
      <c r="B834" s="10" t="n">
        <f aca="false">A834/$B$4</f>
        <v>55.2</v>
      </c>
      <c r="C834" s="11" t="n">
        <f aca="false">B834*'Karnataka Fuel Rates'!$B$9</f>
        <v>6145.278</v>
      </c>
      <c r="D834" s="10" t="n">
        <f aca="false">A834/$D$4</f>
        <v>46</v>
      </c>
      <c r="E834" s="11" t="n">
        <f aca="false">D834*'Karnataka Fuel Rates'!$C$9</f>
        <v>4566.19</v>
      </c>
    </row>
    <row r="835" customFormat="false" ht="15" hidden="false" customHeight="true" outlineLevel="0" collapsed="false">
      <c r="A835" s="1" t="n">
        <v>829</v>
      </c>
      <c r="B835" s="10" t="n">
        <f aca="false">A835/$B$4</f>
        <v>55.2666666666667</v>
      </c>
      <c r="C835" s="11" t="n">
        <f aca="false">B835*'Karnataka Fuel Rates'!$B$9</f>
        <v>6152.69983333333</v>
      </c>
      <c r="D835" s="10" t="n">
        <f aca="false">A835/$D$4</f>
        <v>46.0555555555556</v>
      </c>
      <c r="E835" s="11" t="n">
        <f aca="false">D835*'Karnataka Fuel Rates'!$C$9</f>
        <v>4571.70472222222</v>
      </c>
    </row>
    <row r="836" customFormat="false" ht="15" hidden="false" customHeight="true" outlineLevel="0" collapsed="false">
      <c r="A836" s="1" t="n">
        <v>830</v>
      </c>
      <c r="B836" s="10" t="n">
        <f aca="false">A836/$B$4</f>
        <v>55.3333333333333</v>
      </c>
      <c r="C836" s="11" t="n">
        <f aca="false">B836*'Karnataka Fuel Rates'!$B$9</f>
        <v>6160.12166666667</v>
      </c>
      <c r="D836" s="10" t="n">
        <f aca="false">A836/$D$4</f>
        <v>46.1111111111111</v>
      </c>
      <c r="E836" s="11" t="n">
        <f aca="false">D836*'Karnataka Fuel Rates'!$C$9</f>
        <v>4577.21944444445</v>
      </c>
    </row>
    <row r="837" customFormat="false" ht="15" hidden="false" customHeight="true" outlineLevel="0" collapsed="false">
      <c r="A837" s="1" t="n">
        <v>831</v>
      </c>
      <c r="B837" s="10" t="n">
        <f aca="false">A837/$B$4</f>
        <v>55.4</v>
      </c>
      <c r="C837" s="11" t="n">
        <f aca="false">B837*'Karnataka Fuel Rates'!$B$9</f>
        <v>6167.5435</v>
      </c>
      <c r="D837" s="10" t="n">
        <f aca="false">A837/$D$4</f>
        <v>46.1666666666667</v>
      </c>
      <c r="E837" s="11" t="n">
        <f aca="false">D837*'Karnataka Fuel Rates'!$C$9</f>
        <v>4582.73416666667</v>
      </c>
    </row>
    <row r="838" customFormat="false" ht="15" hidden="false" customHeight="true" outlineLevel="0" collapsed="false">
      <c r="A838" s="1" t="n">
        <v>832</v>
      </c>
      <c r="B838" s="10" t="n">
        <f aca="false">A838/$B$4</f>
        <v>55.4666666666667</v>
      </c>
      <c r="C838" s="11" t="n">
        <f aca="false">B838*'Karnataka Fuel Rates'!$B$9</f>
        <v>6174.96533333333</v>
      </c>
      <c r="D838" s="10" t="n">
        <f aca="false">A838/$D$4</f>
        <v>46.2222222222222</v>
      </c>
      <c r="E838" s="11" t="n">
        <f aca="false">D838*'Karnataka Fuel Rates'!$C$9</f>
        <v>4588.24888888889</v>
      </c>
    </row>
    <row r="839" customFormat="false" ht="15" hidden="false" customHeight="true" outlineLevel="0" collapsed="false">
      <c r="A839" s="1" t="n">
        <v>833</v>
      </c>
      <c r="B839" s="10" t="n">
        <f aca="false">A839/$B$4</f>
        <v>55.5333333333333</v>
      </c>
      <c r="C839" s="11" t="n">
        <f aca="false">B839*'Karnataka Fuel Rates'!$B$9</f>
        <v>6182.38716666667</v>
      </c>
      <c r="D839" s="10" t="n">
        <f aca="false">A839/$D$4</f>
        <v>46.2777777777778</v>
      </c>
      <c r="E839" s="11" t="n">
        <f aca="false">D839*'Karnataka Fuel Rates'!$C$9</f>
        <v>4593.76361111111</v>
      </c>
    </row>
    <row r="840" customFormat="false" ht="15" hidden="false" customHeight="true" outlineLevel="0" collapsed="false">
      <c r="A840" s="1" t="n">
        <v>834</v>
      </c>
      <c r="B840" s="10" t="n">
        <f aca="false">A840/$B$4</f>
        <v>55.6</v>
      </c>
      <c r="C840" s="11" t="n">
        <f aca="false">B840*'Karnataka Fuel Rates'!$B$9</f>
        <v>6189.809</v>
      </c>
      <c r="D840" s="10" t="n">
        <f aca="false">A840/$D$4</f>
        <v>46.3333333333333</v>
      </c>
      <c r="E840" s="11" t="n">
        <f aca="false">D840*'Karnataka Fuel Rates'!$C$9</f>
        <v>4599.27833333333</v>
      </c>
    </row>
    <row r="841" customFormat="false" ht="15" hidden="false" customHeight="true" outlineLevel="0" collapsed="false">
      <c r="A841" s="1" t="n">
        <v>835</v>
      </c>
      <c r="B841" s="10" t="n">
        <f aca="false">A841/$B$4</f>
        <v>55.6666666666667</v>
      </c>
      <c r="C841" s="11" t="n">
        <f aca="false">B841*'Karnataka Fuel Rates'!$B$9</f>
        <v>6197.23083333333</v>
      </c>
      <c r="D841" s="10" t="n">
        <f aca="false">A841/$D$4</f>
        <v>46.3888888888889</v>
      </c>
      <c r="E841" s="11" t="n">
        <f aca="false">D841*'Karnataka Fuel Rates'!$C$9</f>
        <v>4604.79305555556</v>
      </c>
    </row>
    <row r="842" customFormat="false" ht="15" hidden="false" customHeight="true" outlineLevel="0" collapsed="false">
      <c r="A842" s="1" t="n">
        <v>836</v>
      </c>
      <c r="B842" s="10" t="n">
        <f aca="false">A842/$B$4</f>
        <v>55.7333333333333</v>
      </c>
      <c r="C842" s="11" t="n">
        <f aca="false">B842*'Karnataka Fuel Rates'!$B$9</f>
        <v>6204.65266666667</v>
      </c>
      <c r="D842" s="10" t="n">
        <f aca="false">A842/$D$4</f>
        <v>46.4444444444444</v>
      </c>
      <c r="E842" s="11" t="n">
        <f aca="false">D842*'Karnataka Fuel Rates'!$C$9</f>
        <v>4610.30777777778</v>
      </c>
    </row>
    <row r="843" customFormat="false" ht="15" hidden="false" customHeight="true" outlineLevel="0" collapsed="false">
      <c r="A843" s="1" t="n">
        <v>837</v>
      </c>
      <c r="B843" s="10" t="n">
        <f aca="false">A843/$B$4</f>
        <v>55.8</v>
      </c>
      <c r="C843" s="11" t="n">
        <f aca="false">B843*'Karnataka Fuel Rates'!$B$9</f>
        <v>6212.0745</v>
      </c>
      <c r="D843" s="10" t="n">
        <f aca="false">A843/$D$4</f>
        <v>46.5</v>
      </c>
      <c r="E843" s="11" t="n">
        <f aca="false">D843*'Karnataka Fuel Rates'!$C$9</f>
        <v>4615.8225</v>
      </c>
    </row>
    <row r="844" customFormat="false" ht="15" hidden="false" customHeight="true" outlineLevel="0" collapsed="false">
      <c r="A844" s="1" t="n">
        <v>838</v>
      </c>
      <c r="B844" s="10" t="n">
        <f aca="false">A844/$B$4</f>
        <v>55.8666666666667</v>
      </c>
      <c r="C844" s="11" t="n">
        <f aca="false">B844*'Karnataka Fuel Rates'!$B$9</f>
        <v>6219.49633333333</v>
      </c>
      <c r="D844" s="10" t="n">
        <f aca="false">A844/$D$4</f>
        <v>46.5555555555556</v>
      </c>
      <c r="E844" s="11" t="n">
        <f aca="false">D844*'Karnataka Fuel Rates'!$C$9</f>
        <v>4621.33722222222</v>
      </c>
    </row>
    <row r="845" customFormat="false" ht="15" hidden="false" customHeight="true" outlineLevel="0" collapsed="false">
      <c r="A845" s="1" t="n">
        <v>839</v>
      </c>
      <c r="B845" s="10" t="n">
        <f aca="false">A845/$B$4</f>
        <v>55.9333333333333</v>
      </c>
      <c r="C845" s="11" t="n">
        <f aca="false">B845*'Karnataka Fuel Rates'!$B$9</f>
        <v>6226.91816666667</v>
      </c>
      <c r="D845" s="10" t="n">
        <f aca="false">A845/$D$4</f>
        <v>46.6111111111111</v>
      </c>
      <c r="E845" s="11" t="n">
        <f aca="false">D845*'Karnataka Fuel Rates'!$C$9</f>
        <v>4626.85194444445</v>
      </c>
    </row>
    <row r="846" customFormat="false" ht="15" hidden="false" customHeight="true" outlineLevel="0" collapsed="false">
      <c r="A846" s="1" t="n">
        <v>840</v>
      </c>
      <c r="B846" s="10" t="n">
        <f aca="false">A846/$B$4</f>
        <v>56</v>
      </c>
      <c r="C846" s="11" t="n">
        <f aca="false">B846*'Karnataka Fuel Rates'!$B$9</f>
        <v>6234.34</v>
      </c>
      <c r="D846" s="10" t="n">
        <f aca="false">A846/$D$4</f>
        <v>46.6666666666667</v>
      </c>
      <c r="E846" s="11" t="n">
        <f aca="false">D846*'Karnataka Fuel Rates'!$C$9</f>
        <v>4632.36666666667</v>
      </c>
    </row>
    <row r="847" customFormat="false" ht="15" hidden="false" customHeight="true" outlineLevel="0" collapsed="false">
      <c r="A847" s="1" t="n">
        <v>841</v>
      </c>
      <c r="B847" s="10" t="n">
        <f aca="false">A847/$B$4</f>
        <v>56.0666666666667</v>
      </c>
      <c r="C847" s="11" t="n">
        <f aca="false">B847*'Karnataka Fuel Rates'!$B$9</f>
        <v>6241.76183333333</v>
      </c>
      <c r="D847" s="10" t="n">
        <f aca="false">A847/$D$4</f>
        <v>46.7222222222222</v>
      </c>
      <c r="E847" s="11" t="n">
        <f aca="false">D847*'Karnataka Fuel Rates'!$C$9</f>
        <v>4637.88138888889</v>
      </c>
    </row>
    <row r="848" customFormat="false" ht="15" hidden="false" customHeight="true" outlineLevel="0" collapsed="false">
      <c r="A848" s="1" t="n">
        <v>842</v>
      </c>
      <c r="B848" s="10" t="n">
        <f aca="false">A848/$B$4</f>
        <v>56.1333333333333</v>
      </c>
      <c r="C848" s="11" t="n">
        <f aca="false">B848*'Karnataka Fuel Rates'!$B$9</f>
        <v>6249.18366666667</v>
      </c>
      <c r="D848" s="10" t="n">
        <f aca="false">A848/$D$4</f>
        <v>46.7777777777778</v>
      </c>
      <c r="E848" s="11" t="n">
        <f aca="false">D848*'Karnataka Fuel Rates'!$C$9</f>
        <v>4643.39611111111</v>
      </c>
    </row>
    <row r="849" customFormat="false" ht="15" hidden="false" customHeight="true" outlineLevel="0" collapsed="false">
      <c r="A849" s="1" t="n">
        <v>843</v>
      </c>
      <c r="B849" s="10" t="n">
        <f aca="false">A849/$B$4</f>
        <v>56.2</v>
      </c>
      <c r="C849" s="11" t="n">
        <f aca="false">B849*'Karnataka Fuel Rates'!$B$9</f>
        <v>6256.6055</v>
      </c>
      <c r="D849" s="10" t="n">
        <f aca="false">A849/$D$4</f>
        <v>46.8333333333333</v>
      </c>
      <c r="E849" s="11" t="n">
        <f aca="false">D849*'Karnataka Fuel Rates'!$C$9</f>
        <v>4648.91083333333</v>
      </c>
    </row>
    <row r="850" customFormat="false" ht="15" hidden="false" customHeight="true" outlineLevel="0" collapsed="false">
      <c r="A850" s="1" t="n">
        <v>844</v>
      </c>
      <c r="B850" s="10" t="n">
        <f aca="false">A850/$B$4</f>
        <v>56.2666666666667</v>
      </c>
      <c r="C850" s="11" t="n">
        <f aca="false">B850*'Karnataka Fuel Rates'!$B$9</f>
        <v>6264.02733333333</v>
      </c>
      <c r="D850" s="10" t="n">
        <f aca="false">A850/$D$4</f>
        <v>46.8888888888889</v>
      </c>
      <c r="E850" s="11" t="n">
        <f aca="false">D850*'Karnataka Fuel Rates'!$C$9</f>
        <v>4654.42555555556</v>
      </c>
    </row>
    <row r="851" customFormat="false" ht="15" hidden="false" customHeight="true" outlineLevel="0" collapsed="false">
      <c r="A851" s="1" t="n">
        <v>845</v>
      </c>
      <c r="B851" s="10" t="n">
        <f aca="false">A851/$B$4</f>
        <v>56.3333333333333</v>
      </c>
      <c r="C851" s="11" t="n">
        <f aca="false">B851*'Karnataka Fuel Rates'!$B$9</f>
        <v>6271.44916666667</v>
      </c>
      <c r="D851" s="10" t="n">
        <f aca="false">A851/$D$4</f>
        <v>46.9444444444444</v>
      </c>
      <c r="E851" s="11" t="n">
        <f aca="false">D851*'Karnataka Fuel Rates'!$C$9</f>
        <v>4659.94027777778</v>
      </c>
    </row>
    <row r="852" customFormat="false" ht="15" hidden="false" customHeight="true" outlineLevel="0" collapsed="false">
      <c r="A852" s="1" t="n">
        <v>846</v>
      </c>
      <c r="B852" s="10" t="n">
        <f aca="false">A852/$B$4</f>
        <v>56.4</v>
      </c>
      <c r="C852" s="11" t="n">
        <f aca="false">B852*'Karnataka Fuel Rates'!$B$9</f>
        <v>6278.871</v>
      </c>
      <c r="D852" s="10" t="n">
        <f aca="false">A852/$D$4</f>
        <v>47</v>
      </c>
      <c r="E852" s="11" t="n">
        <f aca="false">D852*'Karnataka Fuel Rates'!$C$9</f>
        <v>4665.455</v>
      </c>
    </row>
    <row r="853" customFormat="false" ht="15" hidden="false" customHeight="true" outlineLevel="0" collapsed="false">
      <c r="A853" s="1" t="n">
        <v>847</v>
      </c>
      <c r="B853" s="10" t="n">
        <f aca="false">A853/$B$4</f>
        <v>56.4666666666667</v>
      </c>
      <c r="C853" s="11" t="n">
        <f aca="false">B853*'Karnataka Fuel Rates'!$B$9</f>
        <v>6286.29283333333</v>
      </c>
      <c r="D853" s="10" t="n">
        <f aca="false">A853/$D$4</f>
        <v>47.0555555555556</v>
      </c>
      <c r="E853" s="11" t="n">
        <f aca="false">D853*'Karnataka Fuel Rates'!$C$9</f>
        <v>4670.96972222222</v>
      </c>
    </row>
    <row r="854" customFormat="false" ht="15" hidden="false" customHeight="true" outlineLevel="0" collapsed="false">
      <c r="A854" s="1" t="n">
        <v>848</v>
      </c>
      <c r="B854" s="10" t="n">
        <f aca="false">A854/$B$4</f>
        <v>56.5333333333333</v>
      </c>
      <c r="C854" s="11" t="n">
        <f aca="false">B854*'Karnataka Fuel Rates'!$B$9</f>
        <v>6293.71466666667</v>
      </c>
      <c r="D854" s="10" t="n">
        <f aca="false">A854/$D$4</f>
        <v>47.1111111111111</v>
      </c>
      <c r="E854" s="11" t="n">
        <f aca="false">D854*'Karnataka Fuel Rates'!$C$9</f>
        <v>4676.48444444445</v>
      </c>
    </row>
    <row r="855" customFormat="false" ht="15" hidden="false" customHeight="true" outlineLevel="0" collapsed="false">
      <c r="A855" s="1" t="n">
        <v>849</v>
      </c>
      <c r="B855" s="10" t="n">
        <f aca="false">A855/$B$4</f>
        <v>56.6</v>
      </c>
      <c r="C855" s="11" t="n">
        <f aca="false">B855*'Karnataka Fuel Rates'!$B$9</f>
        <v>6301.1365</v>
      </c>
      <c r="D855" s="10" t="n">
        <f aca="false">A855/$D$4</f>
        <v>47.1666666666667</v>
      </c>
      <c r="E855" s="11" t="n">
        <f aca="false">D855*'Karnataka Fuel Rates'!$C$9</f>
        <v>4681.99916666667</v>
      </c>
    </row>
    <row r="856" customFormat="false" ht="15" hidden="false" customHeight="true" outlineLevel="0" collapsed="false">
      <c r="A856" s="1" t="n">
        <v>850</v>
      </c>
      <c r="B856" s="10" t="n">
        <f aca="false">A856/$B$4</f>
        <v>56.6666666666667</v>
      </c>
      <c r="C856" s="11" t="n">
        <f aca="false">B856*'Karnataka Fuel Rates'!$B$9</f>
        <v>6308.55833333333</v>
      </c>
      <c r="D856" s="10" t="n">
        <f aca="false">A856/$D$4</f>
        <v>47.2222222222222</v>
      </c>
      <c r="E856" s="11" t="n">
        <f aca="false">D856*'Karnataka Fuel Rates'!$C$9</f>
        <v>4687.51388888889</v>
      </c>
    </row>
    <row r="857" customFormat="false" ht="15" hidden="false" customHeight="true" outlineLevel="0" collapsed="false">
      <c r="A857" s="1" t="n">
        <v>851</v>
      </c>
      <c r="B857" s="10" t="n">
        <f aca="false">A857/$B$4</f>
        <v>56.7333333333333</v>
      </c>
      <c r="C857" s="11" t="n">
        <f aca="false">B857*'Karnataka Fuel Rates'!$B$9</f>
        <v>6315.98016666667</v>
      </c>
      <c r="D857" s="10" t="n">
        <f aca="false">A857/$D$4</f>
        <v>47.2777777777778</v>
      </c>
      <c r="E857" s="11" t="n">
        <f aca="false">D857*'Karnataka Fuel Rates'!$C$9</f>
        <v>4693.02861111111</v>
      </c>
    </row>
    <row r="858" customFormat="false" ht="15" hidden="false" customHeight="true" outlineLevel="0" collapsed="false">
      <c r="A858" s="1" t="n">
        <v>852</v>
      </c>
      <c r="B858" s="10" t="n">
        <f aca="false">A858/$B$4</f>
        <v>56.8</v>
      </c>
      <c r="C858" s="11" t="n">
        <f aca="false">B858*'Karnataka Fuel Rates'!$B$9</f>
        <v>6323.402</v>
      </c>
      <c r="D858" s="10" t="n">
        <f aca="false">A858/$D$4</f>
        <v>47.3333333333333</v>
      </c>
      <c r="E858" s="11" t="n">
        <f aca="false">D858*'Karnataka Fuel Rates'!$C$9</f>
        <v>4698.54333333333</v>
      </c>
    </row>
    <row r="859" customFormat="false" ht="15" hidden="false" customHeight="true" outlineLevel="0" collapsed="false">
      <c r="A859" s="1" t="n">
        <v>853</v>
      </c>
      <c r="B859" s="10" t="n">
        <f aca="false">A859/$B$4</f>
        <v>56.8666666666667</v>
      </c>
      <c r="C859" s="11" t="n">
        <f aca="false">B859*'Karnataka Fuel Rates'!$B$9</f>
        <v>6330.82383333333</v>
      </c>
      <c r="D859" s="10" t="n">
        <f aca="false">A859/$D$4</f>
        <v>47.3888888888889</v>
      </c>
      <c r="E859" s="11" t="n">
        <f aca="false">D859*'Karnataka Fuel Rates'!$C$9</f>
        <v>4704.05805555556</v>
      </c>
    </row>
    <row r="860" customFormat="false" ht="15" hidden="false" customHeight="true" outlineLevel="0" collapsed="false">
      <c r="A860" s="1" t="n">
        <v>854</v>
      </c>
      <c r="B860" s="10" t="n">
        <f aca="false">A860/$B$4</f>
        <v>56.9333333333333</v>
      </c>
      <c r="C860" s="11" t="n">
        <f aca="false">B860*'Karnataka Fuel Rates'!$B$9</f>
        <v>6338.24566666667</v>
      </c>
      <c r="D860" s="10" t="n">
        <f aca="false">A860/$D$4</f>
        <v>47.4444444444444</v>
      </c>
      <c r="E860" s="11" t="n">
        <f aca="false">D860*'Karnataka Fuel Rates'!$C$9</f>
        <v>4709.57277777778</v>
      </c>
    </row>
    <row r="861" customFormat="false" ht="15" hidden="false" customHeight="true" outlineLevel="0" collapsed="false">
      <c r="A861" s="1" t="n">
        <v>855</v>
      </c>
      <c r="B861" s="10" t="n">
        <f aca="false">A861/$B$4</f>
        <v>57</v>
      </c>
      <c r="C861" s="11" t="n">
        <f aca="false">B861*'Karnataka Fuel Rates'!$B$9</f>
        <v>6345.6675</v>
      </c>
      <c r="D861" s="10" t="n">
        <f aca="false">A861/$D$4</f>
        <v>47.5</v>
      </c>
      <c r="E861" s="11" t="n">
        <f aca="false">D861*'Karnataka Fuel Rates'!$C$9</f>
        <v>4715.0875</v>
      </c>
    </row>
    <row r="862" customFormat="false" ht="15" hidden="false" customHeight="true" outlineLevel="0" collapsed="false">
      <c r="A862" s="1" t="n">
        <v>856</v>
      </c>
      <c r="B862" s="10" t="n">
        <f aca="false">A862/$B$4</f>
        <v>57.0666666666667</v>
      </c>
      <c r="C862" s="11" t="n">
        <f aca="false">B862*'Karnataka Fuel Rates'!$B$9</f>
        <v>6353.08933333333</v>
      </c>
      <c r="D862" s="10" t="n">
        <f aca="false">A862/$D$4</f>
        <v>47.5555555555556</v>
      </c>
      <c r="E862" s="11" t="n">
        <f aca="false">D862*'Karnataka Fuel Rates'!$C$9</f>
        <v>4720.60222222222</v>
      </c>
    </row>
    <row r="863" customFormat="false" ht="15" hidden="false" customHeight="true" outlineLevel="0" collapsed="false">
      <c r="A863" s="1" t="n">
        <v>857</v>
      </c>
      <c r="B863" s="10" t="n">
        <f aca="false">A863/$B$4</f>
        <v>57.1333333333333</v>
      </c>
      <c r="C863" s="11" t="n">
        <f aca="false">B863*'Karnataka Fuel Rates'!$B$9</f>
        <v>6360.51116666667</v>
      </c>
      <c r="D863" s="10" t="n">
        <f aca="false">A863/$D$4</f>
        <v>47.6111111111111</v>
      </c>
      <c r="E863" s="11" t="n">
        <f aca="false">D863*'Karnataka Fuel Rates'!$C$9</f>
        <v>4726.11694444445</v>
      </c>
    </row>
    <row r="864" customFormat="false" ht="15" hidden="false" customHeight="true" outlineLevel="0" collapsed="false">
      <c r="A864" s="1" t="n">
        <v>858</v>
      </c>
      <c r="B864" s="10" t="n">
        <f aca="false">A864/$B$4</f>
        <v>57.2</v>
      </c>
      <c r="C864" s="11" t="n">
        <f aca="false">B864*'Karnataka Fuel Rates'!$B$9</f>
        <v>6367.933</v>
      </c>
      <c r="D864" s="10" t="n">
        <f aca="false">A864/$D$4</f>
        <v>47.6666666666667</v>
      </c>
      <c r="E864" s="11" t="n">
        <f aca="false">D864*'Karnataka Fuel Rates'!$C$9</f>
        <v>4731.63166666667</v>
      </c>
    </row>
    <row r="865" customFormat="false" ht="15" hidden="false" customHeight="true" outlineLevel="0" collapsed="false">
      <c r="A865" s="1" t="n">
        <v>859</v>
      </c>
      <c r="B865" s="10" t="n">
        <f aca="false">A865/$B$4</f>
        <v>57.2666666666667</v>
      </c>
      <c r="C865" s="11" t="n">
        <f aca="false">B865*'Karnataka Fuel Rates'!$B$9</f>
        <v>6375.35483333333</v>
      </c>
      <c r="D865" s="10" t="n">
        <f aca="false">A865/$D$4</f>
        <v>47.7222222222222</v>
      </c>
      <c r="E865" s="11" t="n">
        <f aca="false">D865*'Karnataka Fuel Rates'!$C$9</f>
        <v>4737.14638888889</v>
      </c>
    </row>
    <row r="866" customFormat="false" ht="15" hidden="false" customHeight="true" outlineLevel="0" collapsed="false">
      <c r="A866" s="1" t="n">
        <v>860</v>
      </c>
      <c r="B866" s="10" t="n">
        <f aca="false">A866/$B$4</f>
        <v>57.3333333333333</v>
      </c>
      <c r="C866" s="11" t="n">
        <f aca="false">B866*'Karnataka Fuel Rates'!$B$9</f>
        <v>6382.77666666667</v>
      </c>
      <c r="D866" s="10" t="n">
        <f aca="false">A866/$D$4</f>
        <v>47.7777777777778</v>
      </c>
      <c r="E866" s="11" t="n">
        <f aca="false">D866*'Karnataka Fuel Rates'!$C$9</f>
        <v>4742.66111111111</v>
      </c>
    </row>
    <row r="867" customFormat="false" ht="15" hidden="false" customHeight="true" outlineLevel="0" collapsed="false">
      <c r="A867" s="1" t="n">
        <v>861</v>
      </c>
      <c r="B867" s="10" t="n">
        <f aca="false">A867/$B$4</f>
        <v>57.4</v>
      </c>
      <c r="C867" s="11" t="n">
        <f aca="false">B867*'Karnataka Fuel Rates'!$B$9</f>
        <v>6390.1985</v>
      </c>
      <c r="D867" s="10" t="n">
        <f aca="false">A867/$D$4</f>
        <v>47.8333333333333</v>
      </c>
      <c r="E867" s="11" t="n">
        <f aca="false">D867*'Karnataka Fuel Rates'!$C$9</f>
        <v>4748.17583333333</v>
      </c>
    </row>
    <row r="868" customFormat="false" ht="15" hidden="false" customHeight="true" outlineLevel="0" collapsed="false">
      <c r="A868" s="1" t="n">
        <v>862</v>
      </c>
      <c r="B868" s="10" t="n">
        <f aca="false">A868/$B$4</f>
        <v>57.4666666666667</v>
      </c>
      <c r="C868" s="11" t="n">
        <f aca="false">B868*'Karnataka Fuel Rates'!$B$9</f>
        <v>6397.62033333333</v>
      </c>
      <c r="D868" s="10" t="n">
        <f aca="false">A868/$D$4</f>
        <v>47.8888888888889</v>
      </c>
      <c r="E868" s="11" t="n">
        <f aca="false">D868*'Karnataka Fuel Rates'!$C$9</f>
        <v>4753.69055555556</v>
      </c>
    </row>
    <row r="869" customFormat="false" ht="15" hidden="false" customHeight="true" outlineLevel="0" collapsed="false">
      <c r="A869" s="1" t="n">
        <v>863</v>
      </c>
      <c r="B869" s="10" t="n">
        <f aca="false">A869/$B$4</f>
        <v>57.5333333333333</v>
      </c>
      <c r="C869" s="11" t="n">
        <f aca="false">B869*'Karnataka Fuel Rates'!$B$9</f>
        <v>6405.04216666667</v>
      </c>
      <c r="D869" s="10" t="n">
        <f aca="false">A869/$D$4</f>
        <v>47.9444444444444</v>
      </c>
      <c r="E869" s="11" t="n">
        <f aca="false">D869*'Karnataka Fuel Rates'!$C$9</f>
        <v>4759.20527777778</v>
      </c>
    </row>
    <row r="870" customFormat="false" ht="15" hidden="false" customHeight="true" outlineLevel="0" collapsed="false">
      <c r="A870" s="1" t="n">
        <v>864</v>
      </c>
      <c r="B870" s="10" t="n">
        <f aca="false">A870/$B$4</f>
        <v>57.6</v>
      </c>
      <c r="C870" s="11" t="n">
        <f aca="false">B870*'Karnataka Fuel Rates'!$B$9</f>
        <v>6412.464</v>
      </c>
      <c r="D870" s="10" t="n">
        <f aca="false">A870/$D$4</f>
        <v>48</v>
      </c>
      <c r="E870" s="11" t="n">
        <f aca="false">D870*'Karnataka Fuel Rates'!$C$9</f>
        <v>4764.72</v>
      </c>
    </row>
    <row r="871" customFormat="false" ht="15" hidden="false" customHeight="true" outlineLevel="0" collapsed="false">
      <c r="A871" s="1" t="n">
        <v>865</v>
      </c>
      <c r="B871" s="10" t="n">
        <f aca="false">A871/$B$4</f>
        <v>57.6666666666667</v>
      </c>
      <c r="C871" s="11" t="n">
        <f aca="false">B871*'Karnataka Fuel Rates'!$B$9</f>
        <v>6419.88583333333</v>
      </c>
      <c r="D871" s="10" t="n">
        <f aca="false">A871/$D$4</f>
        <v>48.0555555555556</v>
      </c>
      <c r="E871" s="11" t="n">
        <f aca="false">D871*'Karnataka Fuel Rates'!$C$9</f>
        <v>4770.23472222222</v>
      </c>
    </row>
    <row r="872" customFormat="false" ht="15" hidden="false" customHeight="true" outlineLevel="0" collapsed="false">
      <c r="A872" s="1" t="n">
        <v>866</v>
      </c>
      <c r="B872" s="10" t="n">
        <f aca="false">A872/$B$4</f>
        <v>57.7333333333333</v>
      </c>
      <c r="C872" s="11" t="n">
        <f aca="false">B872*'Karnataka Fuel Rates'!$B$9</f>
        <v>6427.30766666667</v>
      </c>
      <c r="D872" s="10" t="n">
        <f aca="false">A872/$D$4</f>
        <v>48.1111111111111</v>
      </c>
      <c r="E872" s="11" t="n">
        <f aca="false">D872*'Karnataka Fuel Rates'!$C$9</f>
        <v>4775.74944444445</v>
      </c>
    </row>
    <row r="873" customFormat="false" ht="15" hidden="false" customHeight="true" outlineLevel="0" collapsed="false">
      <c r="A873" s="1" t="n">
        <v>867</v>
      </c>
      <c r="B873" s="10" t="n">
        <f aca="false">A873/$B$4</f>
        <v>57.8</v>
      </c>
      <c r="C873" s="11" t="n">
        <f aca="false">B873*'Karnataka Fuel Rates'!$B$9</f>
        <v>6434.7295</v>
      </c>
      <c r="D873" s="10" t="n">
        <f aca="false">A873/$D$4</f>
        <v>48.1666666666667</v>
      </c>
      <c r="E873" s="11" t="n">
        <f aca="false">D873*'Karnataka Fuel Rates'!$C$9</f>
        <v>4781.26416666667</v>
      </c>
    </row>
    <row r="874" customFormat="false" ht="15" hidden="false" customHeight="true" outlineLevel="0" collapsed="false">
      <c r="A874" s="1" t="n">
        <v>868</v>
      </c>
      <c r="B874" s="10" t="n">
        <f aca="false">A874/$B$4</f>
        <v>57.8666666666667</v>
      </c>
      <c r="C874" s="11" t="n">
        <f aca="false">B874*'Karnataka Fuel Rates'!$B$9</f>
        <v>6442.15133333333</v>
      </c>
      <c r="D874" s="10" t="n">
        <f aca="false">A874/$D$4</f>
        <v>48.2222222222222</v>
      </c>
      <c r="E874" s="11" t="n">
        <f aca="false">D874*'Karnataka Fuel Rates'!$C$9</f>
        <v>4786.77888888889</v>
      </c>
    </row>
    <row r="875" customFormat="false" ht="15" hidden="false" customHeight="true" outlineLevel="0" collapsed="false">
      <c r="A875" s="1" t="n">
        <v>869</v>
      </c>
      <c r="B875" s="10" t="n">
        <f aca="false">A875/$B$4</f>
        <v>57.9333333333333</v>
      </c>
      <c r="C875" s="11" t="n">
        <f aca="false">B875*'Karnataka Fuel Rates'!$B$9</f>
        <v>6449.57316666667</v>
      </c>
      <c r="D875" s="10" t="n">
        <f aca="false">A875/$D$4</f>
        <v>48.2777777777778</v>
      </c>
      <c r="E875" s="11" t="n">
        <f aca="false">D875*'Karnataka Fuel Rates'!$C$9</f>
        <v>4792.29361111111</v>
      </c>
    </row>
    <row r="876" customFormat="false" ht="15" hidden="false" customHeight="true" outlineLevel="0" collapsed="false">
      <c r="A876" s="1" t="n">
        <v>870</v>
      </c>
      <c r="B876" s="10" t="n">
        <f aca="false">A876/$B$4</f>
        <v>58</v>
      </c>
      <c r="C876" s="11" t="n">
        <f aca="false">B876*'Karnataka Fuel Rates'!$B$9</f>
        <v>6456.995</v>
      </c>
      <c r="D876" s="10" t="n">
        <f aca="false">A876/$D$4</f>
        <v>48.3333333333333</v>
      </c>
      <c r="E876" s="11" t="n">
        <f aca="false">D876*'Karnataka Fuel Rates'!$C$9</f>
        <v>4797.80833333333</v>
      </c>
    </row>
    <row r="877" customFormat="false" ht="15" hidden="false" customHeight="true" outlineLevel="0" collapsed="false">
      <c r="A877" s="1" t="n">
        <v>871</v>
      </c>
      <c r="B877" s="10" t="n">
        <f aca="false">A877/$B$4</f>
        <v>58.0666666666667</v>
      </c>
      <c r="C877" s="11" t="n">
        <f aca="false">B877*'Karnataka Fuel Rates'!$B$9</f>
        <v>6464.41683333333</v>
      </c>
      <c r="D877" s="10" t="n">
        <f aca="false">A877/$D$4</f>
        <v>48.3888888888889</v>
      </c>
      <c r="E877" s="11" t="n">
        <f aca="false">D877*'Karnataka Fuel Rates'!$C$9</f>
        <v>4803.32305555556</v>
      </c>
    </row>
    <row r="878" customFormat="false" ht="15" hidden="false" customHeight="true" outlineLevel="0" collapsed="false">
      <c r="A878" s="1" t="n">
        <v>872</v>
      </c>
      <c r="B878" s="10" t="n">
        <f aca="false">A878/$B$4</f>
        <v>58.1333333333333</v>
      </c>
      <c r="C878" s="11" t="n">
        <f aca="false">B878*'Karnataka Fuel Rates'!$B$9</f>
        <v>6471.83866666667</v>
      </c>
      <c r="D878" s="10" t="n">
        <f aca="false">A878/$D$4</f>
        <v>48.4444444444444</v>
      </c>
      <c r="E878" s="11" t="n">
        <f aca="false">D878*'Karnataka Fuel Rates'!$C$9</f>
        <v>4808.83777777778</v>
      </c>
    </row>
    <row r="879" customFormat="false" ht="15" hidden="false" customHeight="true" outlineLevel="0" collapsed="false">
      <c r="A879" s="1" t="n">
        <v>873</v>
      </c>
      <c r="B879" s="10" t="n">
        <f aca="false">A879/$B$4</f>
        <v>58.2</v>
      </c>
      <c r="C879" s="11" t="n">
        <f aca="false">B879*'Karnataka Fuel Rates'!$B$9</f>
        <v>6479.2605</v>
      </c>
      <c r="D879" s="10" t="n">
        <f aca="false">A879/$D$4</f>
        <v>48.5</v>
      </c>
      <c r="E879" s="11" t="n">
        <f aca="false">D879*'Karnataka Fuel Rates'!$C$9</f>
        <v>4814.3525</v>
      </c>
    </row>
    <row r="880" customFormat="false" ht="15" hidden="false" customHeight="true" outlineLevel="0" collapsed="false">
      <c r="A880" s="1" t="n">
        <v>874</v>
      </c>
      <c r="B880" s="10" t="n">
        <f aca="false">A880/$B$4</f>
        <v>58.2666666666667</v>
      </c>
      <c r="C880" s="11" t="n">
        <f aca="false">B880*'Karnataka Fuel Rates'!$B$9</f>
        <v>6486.68233333333</v>
      </c>
      <c r="D880" s="10" t="n">
        <f aca="false">A880/$D$4</f>
        <v>48.5555555555556</v>
      </c>
      <c r="E880" s="11" t="n">
        <f aca="false">D880*'Karnataka Fuel Rates'!$C$9</f>
        <v>4819.86722222222</v>
      </c>
    </row>
    <row r="881" customFormat="false" ht="15" hidden="false" customHeight="true" outlineLevel="0" collapsed="false">
      <c r="A881" s="1" t="n">
        <v>875</v>
      </c>
      <c r="B881" s="10" t="n">
        <f aca="false">A881/$B$4</f>
        <v>58.3333333333333</v>
      </c>
      <c r="C881" s="11" t="n">
        <f aca="false">B881*'Karnataka Fuel Rates'!$B$9</f>
        <v>6494.10416666667</v>
      </c>
      <c r="D881" s="10" t="n">
        <f aca="false">A881/$D$4</f>
        <v>48.6111111111111</v>
      </c>
      <c r="E881" s="11" t="n">
        <f aca="false">D881*'Karnataka Fuel Rates'!$C$9</f>
        <v>4825.38194444444</v>
      </c>
    </row>
    <row r="882" customFormat="false" ht="15" hidden="false" customHeight="true" outlineLevel="0" collapsed="false">
      <c r="A882" s="1" t="n">
        <v>876</v>
      </c>
      <c r="B882" s="10" t="n">
        <f aca="false">A882/$B$4</f>
        <v>58.4</v>
      </c>
      <c r="C882" s="11" t="n">
        <f aca="false">B882*'Karnataka Fuel Rates'!$B$9</f>
        <v>6501.526</v>
      </c>
      <c r="D882" s="10" t="n">
        <f aca="false">A882/$D$4</f>
        <v>48.6666666666667</v>
      </c>
      <c r="E882" s="11" t="n">
        <f aca="false">D882*'Karnataka Fuel Rates'!$C$9</f>
        <v>4830.89666666667</v>
      </c>
    </row>
    <row r="883" customFormat="false" ht="15" hidden="false" customHeight="true" outlineLevel="0" collapsed="false">
      <c r="A883" s="1" t="n">
        <v>877</v>
      </c>
      <c r="B883" s="10" t="n">
        <f aca="false">A883/$B$4</f>
        <v>58.4666666666667</v>
      </c>
      <c r="C883" s="11" t="n">
        <f aca="false">B883*'Karnataka Fuel Rates'!$B$9</f>
        <v>6508.94783333333</v>
      </c>
      <c r="D883" s="10" t="n">
        <f aca="false">A883/$D$4</f>
        <v>48.7222222222222</v>
      </c>
      <c r="E883" s="11" t="n">
        <f aca="false">D883*'Karnataka Fuel Rates'!$C$9</f>
        <v>4836.41138888889</v>
      </c>
    </row>
    <row r="884" customFormat="false" ht="15" hidden="false" customHeight="true" outlineLevel="0" collapsed="false">
      <c r="A884" s="1" t="n">
        <v>878</v>
      </c>
      <c r="B884" s="10" t="n">
        <f aca="false">A884/$B$4</f>
        <v>58.5333333333333</v>
      </c>
      <c r="C884" s="11" t="n">
        <f aca="false">B884*'Karnataka Fuel Rates'!$B$9</f>
        <v>6516.36966666667</v>
      </c>
      <c r="D884" s="10" t="n">
        <f aca="false">A884/$D$4</f>
        <v>48.7777777777778</v>
      </c>
      <c r="E884" s="11" t="n">
        <f aca="false">D884*'Karnataka Fuel Rates'!$C$9</f>
        <v>4841.92611111111</v>
      </c>
    </row>
    <row r="885" customFormat="false" ht="15" hidden="false" customHeight="true" outlineLevel="0" collapsed="false">
      <c r="A885" s="1" t="n">
        <v>879</v>
      </c>
      <c r="B885" s="10" t="n">
        <f aca="false">A885/$B$4</f>
        <v>58.6</v>
      </c>
      <c r="C885" s="11" t="n">
        <f aca="false">B885*'Karnataka Fuel Rates'!$B$9</f>
        <v>6523.7915</v>
      </c>
      <c r="D885" s="10" t="n">
        <f aca="false">A885/$D$4</f>
        <v>48.8333333333333</v>
      </c>
      <c r="E885" s="11" t="n">
        <f aca="false">D885*'Karnataka Fuel Rates'!$C$9</f>
        <v>4847.44083333333</v>
      </c>
    </row>
    <row r="886" customFormat="false" ht="15" hidden="false" customHeight="true" outlineLevel="0" collapsed="false">
      <c r="A886" s="1" t="n">
        <v>880</v>
      </c>
      <c r="B886" s="10" t="n">
        <f aca="false">A886/$B$4</f>
        <v>58.6666666666667</v>
      </c>
      <c r="C886" s="11" t="n">
        <f aca="false">B886*'Karnataka Fuel Rates'!$B$9</f>
        <v>6531.21333333333</v>
      </c>
      <c r="D886" s="10" t="n">
        <f aca="false">A886/$D$4</f>
        <v>48.8888888888889</v>
      </c>
      <c r="E886" s="11" t="n">
        <f aca="false">D886*'Karnataka Fuel Rates'!$C$9</f>
        <v>4852.95555555556</v>
      </c>
    </row>
    <row r="887" customFormat="false" ht="15" hidden="false" customHeight="true" outlineLevel="0" collapsed="false">
      <c r="A887" s="1" t="n">
        <v>881</v>
      </c>
      <c r="B887" s="10" t="n">
        <f aca="false">A887/$B$4</f>
        <v>58.7333333333333</v>
      </c>
      <c r="C887" s="11" t="n">
        <f aca="false">B887*'Karnataka Fuel Rates'!$B$9</f>
        <v>6538.63516666667</v>
      </c>
      <c r="D887" s="10" t="n">
        <f aca="false">A887/$D$4</f>
        <v>48.9444444444444</v>
      </c>
      <c r="E887" s="11" t="n">
        <f aca="false">D887*'Karnataka Fuel Rates'!$C$9</f>
        <v>4858.47027777778</v>
      </c>
    </row>
    <row r="888" customFormat="false" ht="15" hidden="false" customHeight="true" outlineLevel="0" collapsed="false">
      <c r="A888" s="1" t="n">
        <v>882</v>
      </c>
      <c r="B888" s="10" t="n">
        <f aca="false">A888/$B$4</f>
        <v>58.8</v>
      </c>
      <c r="C888" s="11" t="n">
        <f aca="false">B888*'Karnataka Fuel Rates'!$B$9</f>
        <v>6546.057</v>
      </c>
      <c r="D888" s="10" t="n">
        <f aca="false">A888/$D$4</f>
        <v>49</v>
      </c>
      <c r="E888" s="11" t="n">
        <f aca="false">D888*'Karnataka Fuel Rates'!$C$9</f>
        <v>4863.985</v>
      </c>
    </row>
    <row r="889" customFormat="false" ht="15" hidden="false" customHeight="true" outlineLevel="0" collapsed="false">
      <c r="A889" s="1" t="n">
        <v>883</v>
      </c>
      <c r="B889" s="10" t="n">
        <f aca="false">A889/$B$4</f>
        <v>58.8666666666667</v>
      </c>
      <c r="C889" s="11" t="n">
        <f aca="false">B889*'Karnataka Fuel Rates'!$B$9</f>
        <v>6553.47883333333</v>
      </c>
      <c r="D889" s="10" t="n">
        <f aca="false">A889/$D$4</f>
        <v>49.0555555555556</v>
      </c>
      <c r="E889" s="11" t="n">
        <f aca="false">D889*'Karnataka Fuel Rates'!$C$9</f>
        <v>4869.49972222222</v>
      </c>
    </row>
    <row r="890" customFormat="false" ht="15" hidden="false" customHeight="true" outlineLevel="0" collapsed="false">
      <c r="A890" s="1" t="n">
        <v>884</v>
      </c>
      <c r="B890" s="10" t="n">
        <f aca="false">A890/$B$4</f>
        <v>58.9333333333333</v>
      </c>
      <c r="C890" s="11" t="n">
        <f aca="false">B890*'Karnataka Fuel Rates'!$B$9</f>
        <v>6560.90066666667</v>
      </c>
      <c r="D890" s="10" t="n">
        <f aca="false">A890/$D$4</f>
        <v>49.1111111111111</v>
      </c>
      <c r="E890" s="11" t="n">
        <f aca="false">D890*'Karnataka Fuel Rates'!$C$9</f>
        <v>4875.01444444445</v>
      </c>
    </row>
    <row r="891" customFormat="false" ht="15" hidden="false" customHeight="true" outlineLevel="0" collapsed="false">
      <c r="A891" s="1" t="n">
        <v>885</v>
      </c>
      <c r="B891" s="10" t="n">
        <f aca="false">A891/$B$4</f>
        <v>59</v>
      </c>
      <c r="C891" s="11" t="n">
        <f aca="false">B891*'Karnataka Fuel Rates'!$B$9</f>
        <v>6568.3225</v>
      </c>
      <c r="D891" s="10" t="n">
        <f aca="false">A891/$D$4</f>
        <v>49.1666666666667</v>
      </c>
      <c r="E891" s="11" t="n">
        <f aca="false">D891*'Karnataka Fuel Rates'!$C$9</f>
        <v>4880.52916666667</v>
      </c>
    </row>
    <row r="892" customFormat="false" ht="15" hidden="false" customHeight="true" outlineLevel="0" collapsed="false">
      <c r="A892" s="1" t="n">
        <v>886</v>
      </c>
      <c r="B892" s="10" t="n">
        <f aca="false">A892/$B$4</f>
        <v>59.0666666666667</v>
      </c>
      <c r="C892" s="11" t="n">
        <f aca="false">B892*'Karnataka Fuel Rates'!$B$9</f>
        <v>6575.74433333333</v>
      </c>
      <c r="D892" s="10" t="n">
        <f aca="false">A892/$D$4</f>
        <v>49.2222222222222</v>
      </c>
      <c r="E892" s="11" t="n">
        <f aca="false">D892*'Karnataka Fuel Rates'!$C$9</f>
        <v>4886.04388888889</v>
      </c>
    </row>
    <row r="893" customFormat="false" ht="15" hidden="false" customHeight="true" outlineLevel="0" collapsed="false">
      <c r="A893" s="1" t="n">
        <v>887</v>
      </c>
      <c r="B893" s="10" t="n">
        <f aca="false">A893/$B$4</f>
        <v>59.1333333333333</v>
      </c>
      <c r="C893" s="11" t="n">
        <f aca="false">B893*'Karnataka Fuel Rates'!$B$9</f>
        <v>6583.16616666667</v>
      </c>
      <c r="D893" s="10" t="n">
        <f aca="false">A893/$D$4</f>
        <v>49.2777777777778</v>
      </c>
      <c r="E893" s="11" t="n">
        <f aca="false">D893*'Karnataka Fuel Rates'!$C$9</f>
        <v>4891.55861111111</v>
      </c>
    </row>
    <row r="894" customFormat="false" ht="15" hidden="false" customHeight="true" outlineLevel="0" collapsed="false">
      <c r="A894" s="1" t="n">
        <v>888</v>
      </c>
      <c r="B894" s="10" t="n">
        <f aca="false">A894/$B$4</f>
        <v>59.2</v>
      </c>
      <c r="C894" s="11" t="n">
        <f aca="false">B894*'Karnataka Fuel Rates'!$B$9</f>
        <v>6590.588</v>
      </c>
      <c r="D894" s="10" t="n">
        <f aca="false">A894/$D$4</f>
        <v>49.3333333333333</v>
      </c>
      <c r="E894" s="11" t="n">
        <f aca="false">D894*'Karnataka Fuel Rates'!$C$9</f>
        <v>4897.07333333333</v>
      </c>
    </row>
    <row r="895" customFormat="false" ht="15" hidden="false" customHeight="true" outlineLevel="0" collapsed="false">
      <c r="A895" s="1" t="n">
        <v>889</v>
      </c>
      <c r="B895" s="10" t="n">
        <f aca="false">A895/$B$4</f>
        <v>59.2666666666667</v>
      </c>
      <c r="C895" s="11" t="n">
        <f aca="false">B895*'Karnataka Fuel Rates'!$B$9</f>
        <v>6598.00983333333</v>
      </c>
      <c r="D895" s="10" t="n">
        <f aca="false">A895/$D$4</f>
        <v>49.3888888888889</v>
      </c>
      <c r="E895" s="11" t="n">
        <f aca="false">D895*'Karnataka Fuel Rates'!$C$9</f>
        <v>4902.58805555556</v>
      </c>
    </row>
    <row r="896" customFormat="false" ht="15" hidden="false" customHeight="true" outlineLevel="0" collapsed="false">
      <c r="A896" s="1" t="n">
        <v>890</v>
      </c>
      <c r="B896" s="10" t="n">
        <f aca="false">A896/$B$4</f>
        <v>59.3333333333333</v>
      </c>
      <c r="C896" s="11" t="n">
        <f aca="false">B896*'Karnataka Fuel Rates'!$B$9</f>
        <v>6605.43166666667</v>
      </c>
      <c r="D896" s="10" t="n">
        <f aca="false">A896/$D$4</f>
        <v>49.4444444444444</v>
      </c>
      <c r="E896" s="11" t="n">
        <f aca="false">D896*'Karnataka Fuel Rates'!$C$9</f>
        <v>4908.10277777778</v>
      </c>
    </row>
    <row r="897" customFormat="false" ht="15" hidden="false" customHeight="true" outlineLevel="0" collapsed="false">
      <c r="A897" s="1" t="n">
        <v>891</v>
      </c>
      <c r="B897" s="10" t="n">
        <f aca="false">A897/$B$4</f>
        <v>59.4</v>
      </c>
      <c r="C897" s="11" t="n">
        <f aca="false">B897*'Karnataka Fuel Rates'!$B$9</f>
        <v>6612.8535</v>
      </c>
      <c r="D897" s="10" t="n">
        <f aca="false">A897/$D$4</f>
        <v>49.5</v>
      </c>
      <c r="E897" s="11" t="n">
        <f aca="false">D897*'Karnataka Fuel Rates'!$C$9</f>
        <v>4913.6175</v>
      </c>
    </row>
    <row r="898" customFormat="false" ht="15" hidden="false" customHeight="true" outlineLevel="0" collapsed="false">
      <c r="A898" s="1" t="n">
        <v>892</v>
      </c>
      <c r="B898" s="10" t="n">
        <f aca="false">A898/$B$4</f>
        <v>59.4666666666667</v>
      </c>
      <c r="C898" s="11" t="n">
        <f aca="false">B898*'Karnataka Fuel Rates'!$B$9</f>
        <v>6620.27533333333</v>
      </c>
      <c r="D898" s="10" t="n">
        <f aca="false">A898/$D$4</f>
        <v>49.5555555555556</v>
      </c>
      <c r="E898" s="11" t="n">
        <f aca="false">D898*'Karnataka Fuel Rates'!$C$9</f>
        <v>4919.13222222222</v>
      </c>
    </row>
    <row r="899" customFormat="false" ht="15" hidden="false" customHeight="true" outlineLevel="0" collapsed="false">
      <c r="A899" s="1" t="n">
        <v>893</v>
      </c>
      <c r="B899" s="10" t="n">
        <f aca="false">A899/$B$4</f>
        <v>59.5333333333333</v>
      </c>
      <c r="C899" s="11" t="n">
        <f aca="false">B899*'Karnataka Fuel Rates'!$B$9</f>
        <v>6627.69716666667</v>
      </c>
      <c r="D899" s="10" t="n">
        <f aca="false">A899/$D$4</f>
        <v>49.6111111111111</v>
      </c>
      <c r="E899" s="11" t="n">
        <f aca="false">D899*'Karnataka Fuel Rates'!$C$9</f>
        <v>4924.64694444445</v>
      </c>
    </row>
    <row r="900" customFormat="false" ht="15" hidden="false" customHeight="true" outlineLevel="0" collapsed="false">
      <c r="A900" s="1" t="n">
        <v>894</v>
      </c>
      <c r="B900" s="10" t="n">
        <f aca="false">A900/$B$4</f>
        <v>59.6</v>
      </c>
      <c r="C900" s="11" t="n">
        <f aca="false">B900*'Karnataka Fuel Rates'!$B$9</f>
        <v>6635.119</v>
      </c>
      <c r="D900" s="10" t="n">
        <f aca="false">A900/$D$4</f>
        <v>49.6666666666667</v>
      </c>
      <c r="E900" s="11" t="n">
        <f aca="false">D900*'Karnataka Fuel Rates'!$C$9</f>
        <v>4930.16166666667</v>
      </c>
    </row>
    <row r="901" customFormat="false" ht="15" hidden="false" customHeight="true" outlineLevel="0" collapsed="false">
      <c r="A901" s="1" t="n">
        <v>895</v>
      </c>
      <c r="B901" s="10" t="n">
        <f aca="false">A901/$B$4</f>
        <v>59.6666666666667</v>
      </c>
      <c r="C901" s="11" t="n">
        <f aca="false">B901*'Karnataka Fuel Rates'!$B$9</f>
        <v>6642.54083333333</v>
      </c>
      <c r="D901" s="10" t="n">
        <f aca="false">A901/$D$4</f>
        <v>49.7222222222222</v>
      </c>
      <c r="E901" s="11" t="n">
        <f aca="false">D901*'Karnataka Fuel Rates'!$C$9</f>
        <v>4935.67638888889</v>
      </c>
    </row>
    <row r="902" customFormat="false" ht="15" hidden="false" customHeight="true" outlineLevel="0" collapsed="false">
      <c r="A902" s="1" t="n">
        <v>896</v>
      </c>
      <c r="B902" s="10" t="n">
        <f aca="false">A902/$B$4</f>
        <v>59.7333333333333</v>
      </c>
      <c r="C902" s="11" t="n">
        <f aca="false">B902*'Karnataka Fuel Rates'!$B$9</f>
        <v>6649.96266666667</v>
      </c>
      <c r="D902" s="10" t="n">
        <f aca="false">A902/$D$4</f>
        <v>49.7777777777778</v>
      </c>
      <c r="E902" s="11" t="n">
        <f aca="false">D902*'Karnataka Fuel Rates'!$C$9</f>
        <v>4941.19111111111</v>
      </c>
    </row>
    <row r="903" customFormat="false" ht="15" hidden="false" customHeight="true" outlineLevel="0" collapsed="false">
      <c r="A903" s="1" t="n">
        <v>897</v>
      </c>
      <c r="B903" s="10" t="n">
        <f aca="false">A903/$B$4</f>
        <v>59.8</v>
      </c>
      <c r="C903" s="11" t="n">
        <f aca="false">B903*'Karnataka Fuel Rates'!$B$9</f>
        <v>6657.3845</v>
      </c>
      <c r="D903" s="10" t="n">
        <f aca="false">A903/$D$4</f>
        <v>49.8333333333333</v>
      </c>
      <c r="E903" s="11" t="n">
        <f aca="false">D903*'Karnataka Fuel Rates'!$C$9</f>
        <v>4946.70583333333</v>
      </c>
    </row>
    <row r="904" customFormat="false" ht="15" hidden="false" customHeight="true" outlineLevel="0" collapsed="false">
      <c r="A904" s="1" t="n">
        <v>898</v>
      </c>
      <c r="B904" s="10" t="n">
        <f aca="false">A904/$B$4</f>
        <v>59.8666666666667</v>
      </c>
      <c r="C904" s="11" t="n">
        <f aca="false">B904*'Karnataka Fuel Rates'!$B$9</f>
        <v>6664.80633333333</v>
      </c>
      <c r="D904" s="10" t="n">
        <f aca="false">A904/$D$4</f>
        <v>49.8888888888889</v>
      </c>
      <c r="E904" s="11" t="n">
        <f aca="false">D904*'Karnataka Fuel Rates'!$C$9</f>
        <v>4952.22055555556</v>
      </c>
    </row>
    <row r="905" customFormat="false" ht="15" hidden="false" customHeight="true" outlineLevel="0" collapsed="false">
      <c r="A905" s="1" t="n">
        <v>899</v>
      </c>
      <c r="B905" s="10" t="n">
        <f aca="false">A905/$B$4</f>
        <v>59.9333333333333</v>
      </c>
      <c r="C905" s="11" t="n">
        <f aca="false">B905*'Karnataka Fuel Rates'!$B$9</f>
        <v>6672.22816666667</v>
      </c>
      <c r="D905" s="10" t="n">
        <f aca="false">A905/$D$4</f>
        <v>49.9444444444444</v>
      </c>
      <c r="E905" s="11" t="n">
        <f aca="false">D905*'Karnataka Fuel Rates'!$C$9</f>
        <v>4957.73527777778</v>
      </c>
    </row>
    <row r="906" customFormat="false" ht="15" hidden="false" customHeight="true" outlineLevel="0" collapsed="false">
      <c r="A906" s="1" t="n">
        <v>900</v>
      </c>
      <c r="B906" s="10" t="n">
        <f aca="false">A906/$B$4</f>
        <v>60</v>
      </c>
      <c r="C906" s="11" t="n">
        <f aca="false">B906*'Karnataka Fuel Rates'!$B$9</f>
        <v>6679.65</v>
      </c>
      <c r="D906" s="10" t="n">
        <f aca="false">A906/$D$4</f>
        <v>50</v>
      </c>
      <c r="E906" s="11" t="n">
        <f aca="false">D906*'Karnataka Fuel Rates'!$C$9</f>
        <v>4963.25</v>
      </c>
    </row>
    <row r="907" customFormat="false" ht="15" hidden="false" customHeight="true" outlineLevel="0" collapsed="false">
      <c r="A907" s="1" t="n">
        <v>901</v>
      </c>
      <c r="B907" s="10" t="n">
        <f aca="false">A907/$B$4</f>
        <v>60.0666666666667</v>
      </c>
      <c r="C907" s="11" t="n">
        <f aca="false">B907*'Karnataka Fuel Rates'!$B$9</f>
        <v>6687.07183333333</v>
      </c>
      <c r="D907" s="10" t="n">
        <f aca="false">A907/$D$4</f>
        <v>50.0555555555556</v>
      </c>
      <c r="E907" s="11" t="n">
        <f aca="false">D907*'Karnataka Fuel Rates'!$C$9</f>
        <v>4968.76472222222</v>
      </c>
    </row>
    <row r="908" customFormat="false" ht="15" hidden="false" customHeight="true" outlineLevel="0" collapsed="false">
      <c r="A908" s="1" t="n">
        <v>902</v>
      </c>
      <c r="B908" s="10" t="n">
        <f aca="false">A908/$B$4</f>
        <v>60.1333333333333</v>
      </c>
      <c r="C908" s="11" t="n">
        <f aca="false">B908*'Karnataka Fuel Rates'!$B$9</f>
        <v>6694.49366666667</v>
      </c>
      <c r="D908" s="10" t="n">
        <f aca="false">A908/$D$4</f>
        <v>50.1111111111111</v>
      </c>
      <c r="E908" s="11" t="n">
        <f aca="false">D908*'Karnataka Fuel Rates'!$C$9</f>
        <v>4974.27944444444</v>
      </c>
    </row>
    <row r="909" customFormat="false" ht="15" hidden="false" customHeight="true" outlineLevel="0" collapsed="false">
      <c r="A909" s="1" t="n">
        <v>903</v>
      </c>
      <c r="B909" s="10" t="n">
        <f aca="false">A909/$B$4</f>
        <v>60.2</v>
      </c>
      <c r="C909" s="11" t="n">
        <f aca="false">B909*'Karnataka Fuel Rates'!$B$9</f>
        <v>6701.9155</v>
      </c>
      <c r="D909" s="10" t="n">
        <f aca="false">A909/$D$4</f>
        <v>50.1666666666667</v>
      </c>
      <c r="E909" s="11" t="n">
        <f aca="false">D909*'Karnataka Fuel Rates'!$C$9</f>
        <v>4979.79416666667</v>
      </c>
    </row>
    <row r="910" customFormat="false" ht="15" hidden="false" customHeight="true" outlineLevel="0" collapsed="false">
      <c r="A910" s="1" t="n">
        <v>904</v>
      </c>
      <c r="B910" s="10" t="n">
        <f aca="false">A910/$B$4</f>
        <v>60.2666666666667</v>
      </c>
      <c r="C910" s="11" t="n">
        <f aca="false">B910*'Karnataka Fuel Rates'!$B$9</f>
        <v>6709.33733333333</v>
      </c>
      <c r="D910" s="10" t="n">
        <f aca="false">A910/$D$4</f>
        <v>50.2222222222222</v>
      </c>
      <c r="E910" s="11" t="n">
        <f aca="false">D910*'Karnataka Fuel Rates'!$C$9</f>
        <v>4985.30888888889</v>
      </c>
    </row>
    <row r="911" customFormat="false" ht="15" hidden="false" customHeight="true" outlineLevel="0" collapsed="false">
      <c r="A911" s="1" t="n">
        <v>905</v>
      </c>
      <c r="B911" s="10" t="n">
        <f aca="false">A911/$B$4</f>
        <v>60.3333333333333</v>
      </c>
      <c r="C911" s="11" t="n">
        <f aca="false">B911*'Karnataka Fuel Rates'!$B$9</f>
        <v>6716.75916666667</v>
      </c>
      <c r="D911" s="10" t="n">
        <f aca="false">A911/$D$4</f>
        <v>50.2777777777778</v>
      </c>
      <c r="E911" s="11" t="n">
        <f aca="false">D911*'Karnataka Fuel Rates'!$C$9</f>
        <v>4990.82361111111</v>
      </c>
    </row>
    <row r="912" customFormat="false" ht="15" hidden="false" customHeight="true" outlineLevel="0" collapsed="false">
      <c r="A912" s="1" t="n">
        <v>906</v>
      </c>
      <c r="B912" s="10" t="n">
        <f aca="false">A912/$B$4</f>
        <v>60.4</v>
      </c>
      <c r="C912" s="11" t="n">
        <f aca="false">B912*'Karnataka Fuel Rates'!$B$9</f>
        <v>6724.181</v>
      </c>
      <c r="D912" s="10" t="n">
        <f aca="false">A912/$D$4</f>
        <v>50.3333333333333</v>
      </c>
      <c r="E912" s="11" t="n">
        <f aca="false">D912*'Karnataka Fuel Rates'!$C$9</f>
        <v>4996.33833333333</v>
      </c>
    </row>
    <row r="913" customFormat="false" ht="15" hidden="false" customHeight="true" outlineLevel="0" collapsed="false">
      <c r="A913" s="1" t="n">
        <v>907</v>
      </c>
      <c r="B913" s="10" t="n">
        <f aca="false">A913/$B$4</f>
        <v>60.4666666666667</v>
      </c>
      <c r="C913" s="11" t="n">
        <f aca="false">B913*'Karnataka Fuel Rates'!$B$9</f>
        <v>6731.60283333333</v>
      </c>
      <c r="D913" s="10" t="n">
        <f aca="false">A913/$D$4</f>
        <v>50.3888888888889</v>
      </c>
      <c r="E913" s="11" t="n">
        <f aca="false">D913*'Karnataka Fuel Rates'!$C$9</f>
        <v>5001.85305555556</v>
      </c>
    </row>
    <row r="914" customFormat="false" ht="15" hidden="false" customHeight="true" outlineLevel="0" collapsed="false">
      <c r="A914" s="1" t="n">
        <v>908</v>
      </c>
      <c r="B914" s="10" t="n">
        <f aca="false">A914/$B$4</f>
        <v>60.5333333333333</v>
      </c>
      <c r="C914" s="11" t="n">
        <f aca="false">B914*'Karnataka Fuel Rates'!$B$9</f>
        <v>6739.02466666667</v>
      </c>
      <c r="D914" s="10" t="n">
        <f aca="false">A914/$D$4</f>
        <v>50.4444444444444</v>
      </c>
      <c r="E914" s="11" t="n">
        <f aca="false">D914*'Karnataka Fuel Rates'!$C$9</f>
        <v>5007.36777777778</v>
      </c>
    </row>
    <row r="915" customFormat="false" ht="15" hidden="false" customHeight="true" outlineLevel="0" collapsed="false">
      <c r="A915" s="1" t="n">
        <v>909</v>
      </c>
      <c r="B915" s="10" t="n">
        <f aca="false">A915/$B$4</f>
        <v>60.6</v>
      </c>
      <c r="C915" s="11" t="n">
        <f aca="false">B915*'Karnataka Fuel Rates'!$B$9</f>
        <v>6746.4465</v>
      </c>
      <c r="D915" s="10" t="n">
        <f aca="false">A915/$D$4</f>
        <v>50.5</v>
      </c>
      <c r="E915" s="11" t="n">
        <f aca="false">D915*'Karnataka Fuel Rates'!$C$9</f>
        <v>5012.8825</v>
      </c>
    </row>
    <row r="916" customFormat="false" ht="15" hidden="false" customHeight="true" outlineLevel="0" collapsed="false">
      <c r="A916" s="1" t="n">
        <v>910</v>
      </c>
      <c r="B916" s="10" t="n">
        <f aca="false">A916/$B$4</f>
        <v>60.6666666666667</v>
      </c>
      <c r="C916" s="11" t="n">
        <f aca="false">B916*'Karnataka Fuel Rates'!$B$9</f>
        <v>6753.86833333333</v>
      </c>
      <c r="D916" s="10" t="n">
        <f aca="false">A916/$D$4</f>
        <v>50.5555555555556</v>
      </c>
      <c r="E916" s="11" t="n">
        <f aca="false">D916*'Karnataka Fuel Rates'!$C$9</f>
        <v>5018.39722222222</v>
      </c>
    </row>
    <row r="917" customFormat="false" ht="15" hidden="false" customHeight="true" outlineLevel="0" collapsed="false">
      <c r="A917" s="1" t="n">
        <v>911</v>
      </c>
      <c r="B917" s="10" t="n">
        <f aca="false">A917/$B$4</f>
        <v>60.7333333333333</v>
      </c>
      <c r="C917" s="11" t="n">
        <f aca="false">B917*'Karnataka Fuel Rates'!$B$9</f>
        <v>6761.29016666667</v>
      </c>
      <c r="D917" s="10" t="n">
        <f aca="false">A917/$D$4</f>
        <v>50.6111111111111</v>
      </c>
      <c r="E917" s="11" t="n">
        <f aca="false">D917*'Karnataka Fuel Rates'!$C$9</f>
        <v>5023.91194444445</v>
      </c>
    </row>
    <row r="918" customFormat="false" ht="15" hidden="false" customHeight="true" outlineLevel="0" collapsed="false">
      <c r="A918" s="1" t="n">
        <v>912</v>
      </c>
      <c r="B918" s="10" t="n">
        <f aca="false">A918/$B$4</f>
        <v>60.8</v>
      </c>
      <c r="C918" s="11" t="n">
        <f aca="false">B918*'Karnataka Fuel Rates'!$B$9</f>
        <v>6768.712</v>
      </c>
      <c r="D918" s="10" t="n">
        <f aca="false">A918/$D$4</f>
        <v>50.6666666666667</v>
      </c>
      <c r="E918" s="11" t="n">
        <f aca="false">D918*'Karnataka Fuel Rates'!$C$9</f>
        <v>5029.42666666667</v>
      </c>
    </row>
    <row r="919" customFormat="false" ht="15" hidden="false" customHeight="true" outlineLevel="0" collapsed="false">
      <c r="A919" s="1" t="n">
        <v>913</v>
      </c>
      <c r="B919" s="10" t="n">
        <f aca="false">A919/$B$4</f>
        <v>60.8666666666667</v>
      </c>
      <c r="C919" s="11" t="n">
        <f aca="false">B919*'Karnataka Fuel Rates'!$B$9</f>
        <v>6776.13383333333</v>
      </c>
      <c r="D919" s="10" t="n">
        <f aca="false">A919/$D$4</f>
        <v>50.7222222222222</v>
      </c>
      <c r="E919" s="11" t="n">
        <f aca="false">D919*'Karnataka Fuel Rates'!$C$9</f>
        <v>5034.94138888889</v>
      </c>
    </row>
    <row r="920" customFormat="false" ht="15" hidden="false" customHeight="true" outlineLevel="0" collapsed="false">
      <c r="A920" s="1" t="n">
        <v>914</v>
      </c>
      <c r="B920" s="10" t="n">
        <f aca="false">A920/$B$4</f>
        <v>60.9333333333333</v>
      </c>
      <c r="C920" s="11" t="n">
        <f aca="false">B920*'Karnataka Fuel Rates'!$B$9</f>
        <v>6783.55566666667</v>
      </c>
      <c r="D920" s="10" t="n">
        <f aca="false">A920/$D$4</f>
        <v>50.7777777777778</v>
      </c>
      <c r="E920" s="11" t="n">
        <f aca="false">D920*'Karnataka Fuel Rates'!$C$9</f>
        <v>5040.45611111111</v>
      </c>
    </row>
    <row r="921" customFormat="false" ht="15" hidden="false" customHeight="true" outlineLevel="0" collapsed="false">
      <c r="A921" s="1" t="n">
        <v>915</v>
      </c>
      <c r="B921" s="10" t="n">
        <f aca="false">A921/$B$4</f>
        <v>61</v>
      </c>
      <c r="C921" s="11" t="n">
        <f aca="false">B921*'Karnataka Fuel Rates'!$B$9</f>
        <v>6790.9775</v>
      </c>
      <c r="D921" s="10" t="n">
        <f aca="false">A921/$D$4</f>
        <v>50.8333333333333</v>
      </c>
      <c r="E921" s="11" t="n">
        <f aca="false">D921*'Karnataka Fuel Rates'!$C$9</f>
        <v>5045.97083333333</v>
      </c>
    </row>
    <row r="922" customFormat="false" ht="15" hidden="false" customHeight="true" outlineLevel="0" collapsed="false">
      <c r="A922" s="1" t="n">
        <v>916</v>
      </c>
      <c r="B922" s="10" t="n">
        <f aca="false">A922/$B$4</f>
        <v>61.0666666666667</v>
      </c>
      <c r="C922" s="11" t="n">
        <f aca="false">B922*'Karnataka Fuel Rates'!$B$9</f>
        <v>6798.39933333333</v>
      </c>
      <c r="D922" s="10" t="n">
        <f aca="false">A922/$D$4</f>
        <v>50.8888888888889</v>
      </c>
      <c r="E922" s="11" t="n">
        <f aca="false">D922*'Karnataka Fuel Rates'!$C$9</f>
        <v>5051.48555555556</v>
      </c>
    </row>
    <row r="923" customFormat="false" ht="15" hidden="false" customHeight="true" outlineLevel="0" collapsed="false">
      <c r="A923" s="1" t="n">
        <v>917</v>
      </c>
      <c r="B923" s="10" t="n">
        <f aca="false">A923/$B$4</f>
        <v>61.1333333333333</v>
      </c>
      <c r="C923" s="11" t="n">
        <f aca="false">B923*'Karnataka Fuel Rates'!$B$9</f>
        <v>6805.82116666667</v>
      </c>
      <c r="D923" s="10" t="n">
        <f aca="false">A923/$D$4</f>
        <v>50.9444444444444</v>
      </c>
      <c r="E923" s="11" t="n">
        <f aca="false">D923*'Karnataka Fuel Rates'!$C$9</f>
        <v>5057.00027777778</v>
      </c>
    </row>
    <row r="924" customFormat="false" ht="15" hidden="false" customHeight="true" outlineLevel="0" collapsed="false">
      <c r="A924" s="1" t="n">
        <v>918</v>
      </c>
      <c r="B924" s="10" t="n">
        <f aca="false">A924/$B$4</f>
        <v>61.2</v>
      </c>
      <c r="C924" s="11" t="n">
        <f aca="false">B924*'Karnataka Fuel Rates'!$B$9</f>
        <v>6813.243</v>
      </c>
      <c r="D924" s="10" t="n">
        <f aca="false">A924/$D$4</f>
        <v>51</v>
      </c>
      <c r="E924" s="11" t="n">
        <f aca="false">D924*'Karnataka Fuel Rates'!$C$9</f>
        <v>5062.515</v>
      </c>
    </row>
    <row r="925" customFormat="false" ht="15" hidden="false" customHeight="true" outlineLevel="0" collapsed="false">
      <c r="A925" s="1" t="n">
        <v>919</v>
      </c>
      <c r="B925" s="10" t="n">
        <f aca="false">A925/$B$4</f>
        <v>61.2666666666667</v>
      </c>
      <c r="C925" s="11" t="n">
        <f aca="false">B925*'Karnataka Fuel Rates'!$B$9</f>
        <v>6820.66483333333</v>
      </c>
      <c r="D925" s="10" t="n">
        <f aca="false">A925/$D$4</f>
        <v>51.0555555555556</v>
      </c>
      <c r="E925" s="11" t="n">
        <f aca="false">D925*'Karnataka Fuel Rates'!$C$9</f>
        <v>5068.02972222222</v>
      </c>
    </row>
    <row r="926" customFormat="false" ht="15" hidden="false" customHeight="true" outlineLevel="0" collapsed="false">
      <c r="A926" s="1" t="n">
        <v>920</v>
      </c>
      <c r="B926" s="10" t="n">
        <f aca="false">A926/$B$4</f>
        <v>61.3333333333333</v>
      </c>
      <c r="C926" s="11" t="n">
        <f aca="false">B926*'Karnataka Fuel Rates'!$B$9</f>
        <v>6828.08666666667</v>
      </c>
      <c r="D926" s="10" t="n">
        <f aca="false">A926/$D$4</f>
        <v>51.1111111111111</v>
      </c>
      <c r="E926" s="11" t="n">
        <f aca="false">D926*'Karnataka Fuel Rates'!$C$9</f>
        <v>5073.54444444445</v>
      </c>
    </row>
    <row r="927" customFormat="false" ht="15" hidden="false" customHeight="true" outlineLevel="0" collapsed="false">
      <c r="A927" s="1" t="n">
        <v>921</v>
      </c>
      <c r="B927" s="10" t="n">
        <f aca="false">A927/$B$4</f>
        <v>61.4</v>
      </c>
      <c r="C927" s="11" t="n">
        <f aca="false">B927*'Karnataka Fuel Rates'!$B$9</f>
        <v>6835.5085</v>
      </c>
      <c r="D927" s="10" t="n">
        <f aca="false">A927/$D$4</f>
        <v>51.1666666666667</v>
      </c>
      <c r="E927" s="11" t="n">
        <f aca="false">D927*'Karnataka Fuel Rates'!$C$9</f>
        <v>5079.05916666667</v>
      </c>
    </row>
    <row r="928" customFormat="false" ht="15" hidden="false" customHeight="true" outlineLevel="0" collapsed="false">
      <c r="A928" s="1" t="n">
        <v>922</v>
      </c>
      <c r="B928" s="10" t="n">
        <f aca="false">A928/$B$4</f>
        <v>61.4666666666667</v>
      </c>
      <c r="C928" s="11" t="n">
        <f aca="false">B928*'Karnataka Fuel Rates'!$B$9</f>
        <v>6842.93033333333</v>
      </c>
      <c r="D928" s="10" t="n">
        <f aca="false">A928/$D$4</f>
        <v>51.2222222222222</v>
      </c>
      <c r="E928" s="11" t="n">
        <f aca="false">D928*'Karnataka Fuel Rates'!$C$9</f>
        <v>5084.57388888889</v>
      </c>
    </row>
    <row r="929" customFormat="false" ht="15" hidden="false" customHeight="true" outlineLevel="0" collapsed="false">
      <c r="A929" s="1" t="n">
        <v>923</v>
      </c>
      <c r="B929" s="10" t="n">
        <f aca="false">A929/$B$4</f>
        <v>61.5333333333333</v>
      </c>
      <c r="C929" s="11" t="n">
        <f aca="false">B929*'Karnataka Fuel Rates'!$B$9</f>
        <v>6850.35216666667</v>
      </c>
      <c r="D929" s="10" t="n">
        <f aca="false">A929/$D$4</f>
        <v>51.2777777777778</v>
      </c>
      <c r="E929" s="11" t="n">
        <f aca="false">D929*'Karnataka Fuel Rates'!$C$9</f>
        <v>5090.08861111111</v>
      </c>
    </row>
    <row r="930" customFormat="false" ht="15" hidden="false" customHeight="true" outlineLevel="0" collapsed="false">
      <c r="A930" s="1" t="n">
        <v>924</v>
      </c>
      <c r="B930" s="10" t="n">
        <f aca="false">A930/$B$4</f>
        <v>61.6</v>
      </c>
      <c r="C930" s="11" t="n">
        <f aca="false">B930*'Karnataka Fuel Rates'!$B$9</f>
        <v>6857.774</v>
      </c>
      <c r="D930" s="10" t="n">
        <f aca="false">A930/$D$4</f>
        <v>51.3333333333333</v>
      </c>
      <c r="E930" s="11" t="n">
        <f aca="false">D930*'Karnataka Fuel Rates'!$C$9</f>
        <v>5095.60333333333</v>
      </c>
    </row>
    <row r="931" customFormat="false" ht="15" hidden="false" customHeight="true" outlineLevel="0" collapsed="false">
      <c r="A931" s="1" t="n">
        <v>925</v>
      </c>
      <c r="B931" s="10" t="n">
        <f aca="false">A931/$B$4</f>
        <v>61.6666666666667</v>
      </c>
      <c r="C931" s="11" t="n">
        <f aca="false">B931*'Karnataka Fuel Rates'!$B$9</f>
        <v>6865.19583333333</v>
      </c>
      <c r="D931" s="10" t="n">
        <f aca="false">A931/$D$4</f>
        <v>51.3888888888889</v>
      </c>
      <c r="E931" s="11" t="n">
        <f aca="false">D931*'Karnataka Fuel Rates'!$C$9</f>
        <v>5101.11805555556</v>
      </c>
    </row>
    <row r="932" customFormat="false" ht="15" hidden="false" customHeight="true" outlineLevel="0" collapsed="false">
      <c r="A932" s="1" t="n">
        <v>926</v>
      </c>
      <c r="B932" s="10" t="n">
        <f aca="false">A932/$B$4</f>
        <v>61.7333333333333</v>
      </c>
      <c r="C932" s="11" t="n">
        <f aca="false">B932*'Karnataka Fuel Rates'!$B$9</f>
        <v>6872.61766666667</v>
      </c>
      <c r="D932" s="10" t="n">
        <f aca="false">A932/$D$4</f>
        <v>51.4444444444444</v>
      </c>
      <c r="E932" s="11" t="n">
        <f aca="false">D932*'Karnataka Fuel Rates'!$C$9</f>
        <v>5106.63277777778</v>
      </c>
    </row>
    <row r="933" customFormat="false" ht="15" hidden="false" customHeight="true" outlineLevel="0" collapsed="false">
      <c r="A933" s="1" t="n">
        <v>927</v>
      </c>
      <c r="B933" s="10" t="n">
        <f aca="false">A933/$B$4</f>
        <v>61.8</v>
      </c>
      <c r="C933" s="11" t="n">
        <f aca="false">B933*'Karnataka Fuel Rates'!$B$9</f>
        <v>6880.0395</v>
      </c>
      <c r="D933" s="10" t="n">
        <f aca="false">A933/$D$4</f>
        <v>51.5</v>
      </c>
      <c r="E933" s="11" t="n">
        <f aca="false">D933*'Karnataka Fuel Rates'!$C$9</f>
        <v>5112.1475</v>
      </c>
    </row>
    <row r="934" customFormat="false" ht="15" hidden="false" customHeight="true" outlineLevel="0" collapsed="false">
      <c r="A934" s="1" t="n">
        <v>928</v>
      </c>
      <c r="B934" s="10" t="n">
        <f aca="false">A934/$B$4</f>
        <v>61.8666666666667</v>
      </c>
      <c r="C934" s="11" t="n">
        <f aca="false">B934*'Karnataka Fuel Rates'!$B$9</f>
        <v>6887.46133333333</v>
      </c>
      <c r="D934" s="10" t="n">
        <f aca="false">A934/$D$4</f>
        <v>51.5555555555556</v>
      </c>
      <c r="E934" s="11" t="n">
        <f aca="false">D934*'Karnataka Fuel Rates'!$C$9</f>
        <v>5117.66222222222</v>
      </c>
    </row>
    <row r="935" customFormat="false" ht="15" hidden="false" customHeight="true" outlineLevel="0" collapsed="false">
      <c r="A935" s="1" t="n">
        <v>929</v>
      </c>
      <c r="B935" s="10" t="n">
        <f aca="false">A935/$B$4</f>
        <v>61.9333333333333</v>
      </c>
      <c r="C935" s="11" t="n">
        <f aca="false">B935*'Karnataka Fuel Rates'!$B$9</f>
        <v>6894.88316666667</v>
      </c>
      <c r="D935" s="10" t="n">
        <f aca="false">A935/$D$4</f>
        <v>51.6111111111111</v>
      </c>
      <c r="E935" s="11" t="n">
        <f aca="false">D935*'Karnataka Fuel Rates'!$C$9</f>
        <v>5123.17694444444</v>
      </c>
    </row>
    <row r="936" customFormat="false" ht="15" hidden="false" customHeight="true" outlineLevel="0" collapsed="false">
      <c r="A936" s="1" t="n">
        <v>930</v>
      </c>
      <c r="B936" s="10" t="n">
        <f aca="false">A936/$B$4</f>
        <v>62</v>
      </c>
      <c r="C936" s="11" t="n">
        <f aca="false">B936*'Karnataka Fuel Rates'!$B$9</f>
        <v>6902.305</v>
      </c>
      <c r="D936" s="10" t="n">
        <f aca="false">A936/$D$4</f>
        <v>51.6666666666667</v>
      </c>
      <c r="E936" s="11" t="n">
        <f aca="false">D936*'Karnataka Fuel Rates'!$C$9</f>
        <v>5128.69166666667</v>
      </c>
    </row>
    <row r="937" customFormat="false" ht="15" hidden="false" customHeight="true" outlineLevel="0" collapsed="false">
      <c r="A937" s="1" t="n">
        <v>931</v>
      </c>
      <c r="B937" s="10" t="n">
        <f aca="false">A937/$B$4</f>
        <v>62.0666666666667</v>
      </c>
      <c r="C937" s="11" t="n">
        <f aca="false">B937*'Karnataka Fuel Rates'!$B$9</f>
        <v>6909.72683333333</v>
      </c>
      <c r="D937" s="10" t="n">
        <f aca="false">A937/$D$4</f>
        <v>51.7222222222222</v>
      </c>
      <c r="E937" s="11" t="n">
        <f aca="false">D937*'Karnataka Fuel Rates'!$C$9</f>
        <v>5134.20638888889</v>
      </c>
    </row>
    <row r="938" customFormat="false" ht="15" hidden="false" customHeight="true" outlineLevel="0" collapsed="false">
      <c r="A938" s="1" t="n">
        <v>932</v>
      </c>
      <c r="B938" s="10" t="n">
        <f aca="false">A938/$B$4</f>
        <v>62.1333333333333</v>
      </c>
      <c r="C938" s="11" t="n">
        <f aca="false">B938*'Karnataka Fuel Rates'!$B$9</f>
        <v>6917.14866666667</v>
      </c>
      <c r="D938" s="10" t="n">
        <f aca="false">A938/$D$4</f>
        <v>51.7777777777778</v>
      </c>
      <c r="E938" s="11" t="n">
        <f aca="false">D938*'Karnataka Fuel Rates'!$C$9</f>
        <v>5139.72111111111</v>
      </c>
    </row>
    <row r="939" customFormat="false" ht="15" hidden="false" customHeight="true" outlineLevel="0" collapsed="false">
      <c r="A939" s="1" t="n">
        <v>933</v>
      </c>
      <c r="B939" s="10" t="n">
        <f aca="false">A939/$B$4</f>
        <v>62.2</v>
      </c>
      <c r="C939" s="11" t="n">
        <f aca="false">B939*'Karnataka Fuel Rates'!$B$9</f>
        <v>6924.5705</v>
      </c>
      <c r="D939" s="10" t="n">
        <f aca="false">A939/$D$4</f>
        <v>51.8333333333333</v>
      </c>
      <c r="E939" s="11" t="n">
        <f aca="false">D939*'Karnataka Fuel Rates'!$C$9</f>
        <v>5145.23583333333</v>
      </c>
    </row>
    <row r="940" customFormat="false" ht="15" hidden="false" customHeight="true" outlineLevel="0" collapsed="false">
      <c r="A940" s="1" t="n">
        <v>934</v>
      </c>
      <c r="B940" s="10" t="n">
        <f aca="false">A940/$B$4</f>
        <v>62.2666666666667</v>
      </c>
      <c r="C940" s="11" t="n">
        <f aca="false">B940*'Karnataka Fuel Rates'!$B$9</f>
        <v>6931.99233333333</v>
      </c>
      <c r="D940" s="10" t="n">
        <f aca="false">A940/$D$4</f>
        <v>51.8888888888889</v>
      </c>
      <c r="E940" s="11" t="n">
        <f aca="false">D940*'Karnataka Fuel Rates'!$C$9</f>
        <v>5150.75055555556</v>
      </c>
    </row>
    <row r="941" customFormat="false" ht="15" hidden="false" customHeight="true" outlineLevel="0" collapsed="false">
      <c r="A941" s="1" t="n">
        <v>935</v>
      </c>
      <c r="B941" s="10" t="n">
        <f aca="false">A941/$B$4</f>
        <v>62.3333333333333</v>
      </c>
      <c r="C941" s="11" t="n">
        <f aca="false">B941*'Karnataka Fuel Rates'!$B$9</f>
        <v>6939.41416666667</v>
      </c>
      <c r="D941" s="10" t="n">
        <f aca="false">A941/$D$4</f>
        <v>51.9444444444444</v>
      </c>
      <c r="E941" s="11" t="n">
        <f aca="false">D941*'Karnataka Fuel Rates'!$C$9</f>
        <v>5156.26527777778</v>
      </c>
    </row>
    <row r="942" customFormat="false" ht="15" hidden="false" customHeight="true" outlineLevel="0" collapsed="false">
      <c r="A942" s="1" t="n">
        <v>936</v>
      </c>
      <c r="B942" s="10" t="n">
        <f aca="false">A942/$B$4</f>
        <v>62.4</v>
      </c>
      <c r="C942" s="11" t="n">
        <f aca="false">B942*'Karnataka Fuel Rates'!$B$9</f>
        <v>6946.836</v>
      </c>
      <c r="D942" s="10" t="n">
        <f aca="false">A942/$D$4</f>
        <v>52</v>
      </c>
      <c r="E942" s="11" t="n">
        <f aca="false">D942*'Karnataka Fuel Rates'!$C$9</f>
        <v>5161.78</v>
      </c>
    </row>
    <row r="943" customFormat="false" ht="15" hidden="false" customHeight="true" outlineLevel="0" collapsed="false">
      <c r="A943" s="1" t="n">
        <v>937</v>
      </c>
      <c r="B943" s="10" t="n">
        <f aca="false">A943/$B$4</f>
        <v>62.4666666666667</v>
      </c>
      <c r="C943" s="11" t="n">
        <f aca="false">B943*'Karnataka Fuel Rates'!$B$9</f>
        <v>6954.25783333333</v>
      </c>
      <c r="D943" s="10" t="n">
        <f aca="false">A943/$D$4</f>
        <v>52.0555555555556</v>
      </c>
      <c r="E943" s="11" t="n">
        <f aca="false">D943*'Karnataka Fuel Rates'!$C$9</f>
        <v>5167.29472222222</v>
      </c>
    </row>
    <row r="944" customFormat="false" ht="15" hidden="false" customHeight="true" outlineLevel="0" collapsed="false">
      <c r="A944" s="1" t="n">
        <v>938</v>
      </c>
      <c r="B944" s="10" t="n">
        <f aca="false">A944/$B$4</f>
        <v>62.5333333333333</v>
      </c>
      <c r="C944" s="11" t="n">
        <f aca="false">B944*'Karnataka Fuel Rates'!$B$9</f>
        <v>6961.67966666667</v>
      </c>
      <c r="D944" s="10" t="n">
        <f aca="false">A944/$D$4</f>
        <v>52.1111111111111</v>
      </c>
      <c r="E944" s="11" t="n">
        <f aca="false">D944*'Karnataka Fuel Rates'!$C$9</f>
        <v>5172.80944444445</v>
      </c>
    </row>
    <row r="945" customFormat="false" ht="15" hidden="false" customHeight="true" outlineLevel="0" collapsed="false">
      <c r="A945" s="1" t="n">
        <v>939</v>
      </c>
      <c r="B945" s="10" t="n">
        <f aca="false">A945/$B$4</f>
        <v>62.6</v>
      </c>
      <c r="C945" s="11" t="n">
        <f aca="false">B945*'Karnataka Fuel Rates'!$B$9</f>
        <v>6969.1015</v>
      </c>
      <c r="D945" s="10" t="n">
        <f aca="false">A945/$D$4</f>
        <v>52.1666666666667</v>
      </c>
      <c r="E945" s="11" t="n">
        <f aca="false">D945*'Karnataka Fuel Rates'!$C$9</f>
        <v>5178.32416666667</v>
      </c>
    </row>
    <row r="946" customFormat="false" ht="15" hidden="false" customHeight="true" outlineLevel="0" collapsed="false">
      <c r="A946" s="1" t="n">
        <v>940</v>
      </c>
      <c r="B946" s="10" t="n">
        <f aca="false">A946/$B$4</f>
        <v>62.6666666666667</v>
      </c>
      <c r="C946" s="11" t="n">
        <f aca="false">B946*'Karnataka Fuel Rates'!$B$9</f>
        <v>6976.52333333333</v>
      </c>
      <c r="D946" s="10" t="n">
        <f aca="false">A946/$D$4</f>
        <v>52.2222222222222</v>
      </c>
      <c r="E946" s="11" t="n">
        <f aca="false">D946*'Karnataka Fuel Rates'!$C$9</f>
        <v>5183.83888888889</v>
      </c>
    </row>
    <row r="947" customFormat="false" ht="15" hidden="false" customHeight="true" outlineLevel="0" collapsed="false">
      <c r="A947" s="1" t="n">
        <v>941</v>
      </c>
      <c r="B947" s="10" t="n">
        <f aca="false">A947/$B$4</f>
        <v>62.7333333333333</v>
      </c>
      <c r="C947" s="11" t="n">
        <f aca="false">B947*'Karnataka Fuel Rates'!$B$9</f>
        <v>6983.94516666667</v>
      </c>
      <c r="D947" s="10" t="n">
        <f aca="false">A947/$D$4</f>
        <v>52.2777777777778</v>
      </c>
      <c r="E947" s="11" t="n">
        <f aca="false">D947*'Karnataka Fuel Rates'!$C$9</f>
        <v>5189.35361111111</v>
      </c>
    </row>
    <row r="948" customFormat="false" ht="15" hidden="false" customHeight="true" outlineLevel="0" collapsed="false">
      <c r="A948" s="1" t="n">
        <v>942</v>
      </c>
      <c r="B948" s="10" t="n">
        <f aca="false">A948/$B$4</f>
        <v>62.8</v>
      </c>
      <c r="C948" s="11" t="n">
        <f aca="false">B948*'Karnataka Fuel Rates'!$B$9</f>
        <v>6991.367</v>
      </c>
      <c r="D948" s="10" t="n">
        <f aca="false">A948/$D$4</f>
        <v>52.3333333333333</v>
      </c>
      <c r="E948" s="11" t="n">
        <f aca="false">D948*'Karnataka Fuel Rates'!$C$9</f>
        <v>5194.86833333333</v>
      </c>
    </row>
    <row r="949" customFormat="false" ht="15" hidden="false" customHeight="true" outlineLevel="0" collapsed="false">
      <c r="A949" s="1" t="n">
        <v>943</v>
      </c>
      <c r="B949" s="10" t="n">
        <f aca="false">A949/$B$4</f>
        <v>62.8666666666667</v>
      </c>
      <c r="C949" s="11" t="n">
        <f aca="false">B949*'Karnataka Fuel Rates'!$B$9</f>
        <v>6998.78883333333</v>
      </c>
      <c r="D949" s="10" t="n">
        <f aca="false">A949/$D$4</f>
        <v>52.3888888888889</v>
      </c>
      <c r="E949" s="11" t="n">
        <f aca="false">D949*'Karnataka Fuel Rates'!$C$9</f>
        <v>5200.38305555556</v>
      </c>
    </row>
    <row r="950" customFormat="false" ht="15" hidden="false" customHeight="true" outlineLevel="0" collapsed="false">
      <c r="A950" s="1" t="n">
        <v>944</v>
      </c>
      <c r="B950" s="10" t="n">
        <f aca="false">A950/$B$4</f>
        <v>62.9333333333333</v>
      </c>
      <c r="C950" s="11" t="n">
        <f aca="false">B950*'Karnataka Fuel Rates'!$B$9</f>
        <v>7006.21066666667</v>
      </c>
      <c r="D950" s="10" t="n">
        <f aca="false">A950/$D$4</f>
        <v>52.4444444444444</v>
      </c>
      <c r="E950" s="11" t="n">
        <f aca="false">D950*'Karnataka Fuel Rates'!$C$9</f>
        <v>5205.89777777778</v>
      </c>
    </row>
    <row r="951" customFormat="false" ht="15" hidden="false" customHeight="true" outlineLevel="0" collapsed="false">
      <c r="A951" s="1" t="n">
        <v>945</v>
      </c>
      <c r="B951" s="10" t="n">
        <f aca="false">A951/$B$4</f>
        <v>63</v>
      </c>
      <c r="C951" s="11" t="n">
        <f aca="false">B951*'Karnataka Fuel Rates'!$B$9</f>
        <v>7013.6325</v>
      </c>
      <c r="D951" s="10" t="n">
        <f aca="false">A951/$D$4</f>
        <v>52.5</v>
      </c>
      <c r="E951" s="11" t="n">
        <f aca="false">D951*'Karnataka Fuel Rates'!$C$9</f>
        <v>5211.4125</v>
      </c>
    </row>
    <row r="952" customFormat="false" ht="15" hidden="false" customHeight="true" outlineLevel="0" collapsed="false">
      <c r="A952" s="1" t="n">
        <v>946</v>
      </c>
      <c r="B952" s="10" t="n">
        <f aca="false">A952/$B$4</f>
        <v>63.0666666666667</v>
      </c>
      <c r="C952" s="11" t="n">
        <f aca="false">B952*'Karnataka Fuel Rates'!$B$9</f>
        <v>7021.05433333333</v>
      </c>
      <c r="D952" s="10" t="n">
        <f aca="false">A952/$D$4</f>
        <v>52.5555555555556</v>
      </c>
      <c r="E952" s="11" t="n">
        <f aca="false">D952*'Karnataka Fuel Rates'!$C$9</f>
        <v>5216.92722222222</v>
      </c>
    </row>
    <row r="953" customFormat="false" ht="15" hidden="false" customHeight="true" outlineLevel="0" collapsed="false">
      <c r="A953" s="1" t="n">
        <v>947</v>
      </c>
      <c r="B953" s="10" t="n">
        <f aca="false">A953/$B$4</f>
        <v>63.1333333333333</v>
      </c>
      <c r="C953" s="11" t="n">
        <f aca="false">B953*'Karnataka Fuel Rates'!$B$9</f>
        <v>7028.47616666667</v>
      </c>
      <c r="D953" s="10" t="n">
        <f aca="false">A953/$D$4</f>
        <v>52.6111111111111</v>
      </c>
      <c r="E953" s="11" t="n">
        <f aca="false">D953*'Karnataka Fuel Rates'!$C$9</f>
        <v>5222.44194444445</v>
      </c>
    </row>
    <row r="954" customFormat="false" ht="15" hidden="false" customHeight="true" outlineLevel="0" collapsed="false">
      <c r="A954" s="1" t="n">
        <v>948</v>
      </c>
      <c r="B954" s="10" t="n">
        <f aca="false">A954/$B$4</f>
        <v>63.2</v>
      </c>
      <c r="C954" s="11" t="n">
        <f aca="false">B954*'Karnataka Fuel Rates'!$B$9</f>
        <v>7035.898</v>
      </c>
      <c r="D954" s="10" t="n">
        <f aca="false">A954/$D$4</f>
        <v>52.6666666666667</v>
      </c>
      <c r="E954" s="11" t="n">
        <f aca="false">D954*'Karnataka Fuel Rates'!$C$9</f>
        <v>5227.95666666667</v>
      </c>
    </row>
    <row r="955" customFormat="false" ht="15" hidden="false" customHeight="true" outlineLevel="0" collapsed="false">
      <c r="A955" s="1" t="n">
        <v>949</v>
      </c>
      <c r="B955" s="10" t="n">
        <f aca="false">A955/$B$4</f>
        <v>63.2666666666667</v>
      </c>
      <c r="C955" s="11" t="n">
        <f aca="false">B955*'Karnataka Fuel Rates'!$B$9</f>
        <v>7043.31983333333</v>
      </c>
      <c r="D955" s="10" t="n">
        <f aca="false">A955/$D$4</f>
        <v>52.7222222222222</v>
      </c>
      <c r="E955" s="11" t="n">
        <f aca="false">D955*'Karnataka Fuel Rates'!$C$9</f>
        <v>5233.47138888889</v>
      </c>
    </row>
    <row r="956" customFormat="false" ht="15" hidden="false" customHeight="true" outlineLevel="0" collapsed="false">
      <c r="A956" s="1" t="n">
        <v>950</v>
      </c>
      <c r="B956" s="10" t="n">
        <f aca="false">A956/$B$4</f>
        <v>63.3333333333333</v>
      </c>
      <c r="C956" s="11" t="n">
        <f aca="false">B956*'Karnataka Fuel Rates'!$B$9</f>
        <v>7050.74166666667</v>
      </c>
      <c r="D956" s="10" t="n">
        <f aca="false">A956/$D$4</f>
        <v>52.7777777777778</v>
      </c>
      <c r="E956" s="11" t="n">
        <f aca="false">D956*'Karnataka Fuel Rates'!$C$9</f>
        <v>5238.98611111111</v>
      </c>
    </row>
    <row r="957" customFormat="false" ht="15" hidden="false" customHeight="true" outlineLevel="0" collapsed="false">
      <c r="A957" s="1" t="n">
        <v>951</v>
      </c>
      <c r="B957" s="10" t="n">
        <f aca="false">A957/$B$4</f>
        <v>63.4</v>
      </c>
      <c r="C957" s="11" t="n">
        <f aca="false">B957*'Karnataka Fuel Rates'!$B$9</f>
        <v>7058.1635</v>
      </c>
      <c r="D957" s="10" t="n">
        <f aca="false">A957/$D$4</f>
        <v>52.8333333333333</v>
      </c>
      <c r="E957" s="11" t="n">
        <f aca="false">D957*'Karnataka Fuel Rates'!$C$9</f>
        <v>5244.50083333333</v>
      </c>
    </row>
    <row r="958" customFormat="false" ht="15" hidden="false" customHeight="true" outlineLevel="0" collapsed="false">
      <c r="A958" s="1" t="n">
        <v>952</v>
      </c>
      <c r="B958" s="10" t="n">
        <f aca="false">A958/$B$4</f>
        <v>63.4666666666667</v>
      </c>
      <c r="C958" s="11" t="n">
        <f aca="false">B958*'Karnataka Fuel Rates'!$B$9</f>
        <v>7065.58533333333</v>
      </c>
      <c r="D958" s="10" t="n">
        <f aca="false">A958/$D$4</f>
        <v>52.8888888888889</v>
      </c>
      <c r="E958" s="11" t="n">
        <f aca="false">D958*'Karnataka Fuel Rates'!$C$9</f>
        <v>5250.01555555556</v>
      </c>
    </row>
    <row r="959" customFormat="false" ht="15" hidden="false" customHeight="true" outlineLevel="0" collapsed="false">
      <c r="A959" s="1" t="n">
        <v>953</v>
      </c>
      <c r="B959" s="10" t="n">
        <f aca="false">A959/$B$4</f>
        <v>63.5333333333333</v>
      </c>
      <c r="C959" s="11" t="n">
        <f aca="false">B959*'Karnataka Fuel Rates'!$B$9</f>
        <v>7073.00716666667</v>
      </c>
      <c r="D959" s="10" t="n">
        <f aca="false">A959/$D$4</f>
        <v>52.9444444444444</v>
      </c>
      <c r="E959" s="11" t="n">
        <f aca="false">D959*'Karnataka Fuel Rates'!$C$9</f>
        <v>5255.53027777778</v>
      </c>
    </row>
    <row r="960" customFormat="false" ht="15" hidden="false" customHeight="true" outlineLevel="0" collapsed="false">
      <c r="A960" s="1" t="n">
        <v>954</v>
      </c>
      <c r="B960" s="10" t="n">
        <f aca="false">A960/$B$4</f>
        <v>63.6</v>
      </c>
      <c r="C960" s="11" t="n">
        <f aca="false">B960*'Karnataka Fuel Rates'!$B$9</f>
        <v>7080.429</v>
      </c>
      <c r="D960" s="10" t="n">
        <f aca="false">A960/$D$4</f>
        <v>53</v>
      </c>
      <c r="E960" s="11" t="n">
        <f aca="false">D960*'Karnataka Fuel Rates'!$C$9</f>
        <v>5261.045</v>
      </c>
    </row>
    <row r="961" customFormat="false" ht="15" hidden="false" customHeight="true" outlineLevel="0" collapsed="false">
      <c r="A961" s="1" t="n">
        <v>955</v>
      </c>
      <c r="B961" s="10" t="n">
        <f aca="false">A961/$B$4</f>
        <v>63.6666666666667</v>
      </c>
      <c r="C961" s="11" t="n">
        <f aca="false">B961*'Karnataka Fuel Rates'!$B$9</f>
        <v>7087.85083333333</v>
      </c>
      <c r="D961" s="10" t="n">
        <f aca="false">A961/$D$4</f>
        <v>53.0555555555556</v>
      </c>
      <c r="E961" s="11" t="n">
        <f aca="false">D961*'Karnataka Fuel Rates'!$C$9</f>
        <v>5266.55972222222</v>
      </c>
    </row>
    <row r="962" customFormat="false" ht="15" hidden="false" customHeight="true" outlineLevel="0" collapsed="false">
      <c r="A962" s="1" t="n">
        <v>956</v>
      </c>
      <c r="B962" s="10" t="n">
        <f aca="false">A962/$B$4</f>
        <v>63.7333333333333</v>
      </c>
      <c r="C962" s="11" t="n">
        <f aca="false">B962*'Karnataka Fuel Rates'!$B$9</f>
        <v>7095.27266666667</v>
      </c>
      <c r="D962" s="10" t="n">
        <f aca="false">A962/$D$4</f>
        <v>53.1111111111111</v>
      </c>
      <c r="E962" s="11" t="n">
        <f aca="false">D962*'Karnataka Fuel Rates'!$C$9</f>
        <v>5272.07444444444</v>
      </c>
    </row>
    <row r="963" customFormat="false" ht="15" hidden="false" customHeight="true" outlineLevel="0" collapsed="false">
      <c r="A963" s="1" t="n">
        <v>957</v>
      </c>
      <c r="B963" s="10" t="n">
        <f aca="false">A963/$B$4</f>
        <v>63.8</v>
      </c>
      <c r="C963" s="11" t="n">
        <f aca="false">B963*'Karnataka Fuel Rates'!$B$9</f>
        <v>7102.6945</v>
      </c>
      <c r="D963" s="10" t="n">
        <f aca="false">A963/$D$4</f>
        <v>53.1666666666667</v>
      </c>
      <c r="E963" s="11" t="n">
        <f aca="false">D963*'Karnataka Fuel Rates'!$C$9</f>
        <v>5277.58916666667</v>
      </c>
    </row>
    <row r="964" customFormat="false" ht="15" hidden="false" customHeight="true" outlineLevel="0" collapsed="false">
      <c r="A964" s="1" t="n">
        <v>958</v>
      </c>
      <c r="B964" s="10" t="n">
        <f aca="false">A964/$B$4</f>
        <v>63.8666666666667</v>
      </c>
      <c r="C964" s="11" t="n">
        <f aca="false">B964*'Karnataka Fuel Rates'!$B$9</f>
        <v>7110.11633333333</v>
      </c>
      <c r="D964" s="10" t="n">
        <f aca="false">A964/$D$4</f>
        <v>53.2222222222222</v>
      </c>
      <c r="E964" s="11" t="n">
        <f aca="false">D964*'Karnataka Fuel Rates'!$C$9</f>
        <v>5283.10388888889</v>
      </c>
    </row>
    <row r="965" customFormat="false" ht="15" hidden="false" customHeight="true" outlineLevel="0" collapsed="false">
      <c r="A965" s="1" t="n">
        <v>959</v>
      </c>
      <c r="B965" s="10" t="n">
        <f aca="false">A965/$B$4</f>
        <v>63.9333333333333</v>
      </c>
      <c r="C965" s="11" t="n">
        <f aca="false">B965*'Karnataka Fuel Rates'!$B$9</f>
        <v>7117.53816666667</v>
      </c>
      <c r="D965" s="10" t="n">
        <f aca="false">A965/$D$4</f>
        <v>53.2777777777778</v>
      </c>
      <c r="E965" s="11" t="n">
        <f aca="false">D965*'Karnataka Fuel Rates'!$C$9</f>
        <v>5288.61861111111</v>
      </c>
    </row>
    <row r="966" customFormat="false" ht="15" hidden="false" customHeight="true" outlineLevel="0" collapsed="false">
      <c r="A966" s="1" t="n">
        <v>960</v>
      </c>
      <c r="B966" s="10" t="n">
        <f aca="false">A966/$B$4</f>
        <v>64</v>
      </c>
      <c r="C966" s="11" t="n">
        <f aca="false">B966*'Karnataka Fuel Rates'!$B$9</f>
        <v>7124.96</v>
      </c>
      <c r="D966" s="10" t="n">
        <f aca="false">A966/$D$4</f>
        <v>53.3333333333333</v>
      </c>
      <c r="E966" s="11" t="n">
        <f aca="false">D966*'Karnataka Fuel Rates'!$C$9</f>
        <v>5294.13333333333</v>
      </c>
    </row>
    <row r="967" customFormat="false" ht="15" hidden="false" customHeight="true" outlineLevel="0" collapsed="false">
      <c r="A967" s="1" t="n">
        <v>961</v>
      </c>
      <c r="B967" s="10" t="n">
        <f aca="false">A967/$B$4</f>
        <v>64.0666666666667</v>
      </c>
      <c r="C967" s="11" t="n">
        <f aca="false">B967*'Karnataka Fuel Rates'!$B$9</f>
        <v>7132.38183333333</v>
      </c>
      <c r="D967" s="10" t="n">
        <f aca="false">A967/$D$4</f>
        <v>53.3888888888889</v>
      </c>
      <c r="E967" s="11" t="n">
        <f aca="false">D967*'Karnataka Fuel Rates'!$C$9</f>
        <v>5299.64805555556</v>
      </c>
    </row>
    <row r="968" customFormat="false" ht="15" hidden="false" customHeight="true" outlineLevel="0" collapsed="false">
      <c r="A968" s="1" t="n">
        <v>962</v>
      </c>
      <c r="B968" s="10" t="n">
        <f aca="false">A968/$B$4</f>
        <v>64.1333333333333</v>
      </c>
      <c r="C968" s="11" t="n">
        <f aca="false">B968*'Karnataka Fuel Rates'!$B$9</f>
        <v>7139.80366666667</v>
      </c>
      <c r="D968" s="10" t="n">
        <f aca="false">A968/$D$4</f>
        <v>53.4444444444444</v>
      </c>
      <c r="E968" s="11" t="n">
        <f aca="false">D968*'Karnataka Fuel Rates'!$C$9</f>
        <v>5305.16277777778</v>
      </c>
    </row>
    <row r="969" customFormat="false" ht="15" hidden="false" customHeight="true" outlineLevel="0" collapsed="false">
      <c r="A969" s="1" t="n">
        <v>963</v>
      </c>
      <c r="B969" s="10" t="n">
        <f aca="false">A969/$B$4</f>
        <v>64.2</v>
      </c>
      <c r="C969" s="11" t="n">
        <f aca="false">B969*'Karnataka Fuel Rates'!$B$9</f>
        <v>7147.2255</v>
      </c>
      <c r="D969" s="10" t="n">
        <f aca="false">A969/$D$4</f>
        <v>53.5</v>
      </c>
      <c r="E969" s="11" t="n">
        <f aca="false">D969*'Karnataka Fuel Rates'!$C$9</f>
        <v>5310.6775</v>
      </c>
    </row>
    <row r="970" customFormat="false" ht="15" hidden="false" customHeight="true" outlineLevel="0" collapsed="false">
      <c r="A970" s="1" t="n">
        <v>964</v>
      </c>
      <c r="B970" s="10" t="n">
        <f aca="false">A970/$B$4</f>
        <v>64.2666666666667</v>
      </c>
      <c r="C970" s="11" t="n">
        <f aca="false">B970*'Karnataka Fuel Rates'!$B$9</f>
        <v>7154.64733333333</v>
      </c>
      <c r="D970" s="10" t="n">
        <f aca="false">A970/$D$4</f>
        <v>53.5555555555556</v>
      </c>
      <c r="E970" s="11" t="n">
        <f aca="false">D970*'Karnataka Fuel Rates'!$C$9</f>
        <v>5316.19222222222</v>
      </c>
    </row>
    <row r="971" customFormat="false" ht="15" hidden="false" customHeight="true" outlineLevel="0" collapsed="false">
      <c r="A971" s="1" t="n">
        <v>965</v>
      </c>
      <c r="B971" s="10" t="n">
        <f aca="false">A971/$B$4</f>
        <v>64.3333333333333</v>
      </c>
      <c r="C971" s="11" t="n">
        <f aca="false">B971*'Karnataka Fuel Rates'!$B$9</f>
        <v>7162.06916666667</v>
      </c>
      <c r="D971" s="10" t="n">
        <f aca="false">A971/$D$4</f>
        <v>53.6111111111111</v>
      </c>
      <c r="E971" s="11" t="n">
        <f aca="false">D971*'Karnataka Fuel Rates'!$C$9</f>
        <v>5321.70694444445</v>
      </c>
    </row>
    <row r="972" customFormat="false" ht="15" hidden="false" customHeight="true" outlineLevel="0" collapsed="false">
      <c r="A972" s="1" t="n">
        <v>966</v>
      </c>
      <c r="B972" s="10" t="n">
        <f aca="false">A972/$B$4</f>
        <v>64.4</v>
      </c>
      <c r="C972" s="11" t="n">
        <f aca="false">B972*'Karnataka Fuel Rates'!$B$9</f>
        <v>7169.491</v>
      </c>
      <c r="D972" s="10" t="n">
        <f aca="false">A972/$D$4</f>
        <v>53.6666666666667</v>
      </c>
      <c r="E972" s="11" t="n">
        <f aca="false">D972*'Karnataka Fuel Rates'!$C$9</f>
        <v>5327.22166666667</v>
      </c>
    </row>
    <row r="973" customFormat="false" ht="15" hidden="false" customHeight="true" outlineLevel="0" collapsed="false">
      <c r="A973" s="1" t="n">
        <v>967</v>
      </c>
      <c r="B973" s="10" t="n">
        <f aca="false">A973/$B$4</f>
        <v>64.4666666666667</v>
      </c>
      <c r="C973" s="11" t="n">
        <f aca="false">B973*'Karnataka Fuel Rates'!$B$9</f>
        <v>7176.91283333333</v>
      </c>
      <c r="D973" s="10" t="n">
        <f aca="false">A973/$D$4</f>
        <v>53.7222222222222</v>
      </c>
      <c r="E973" s="11" t="n">
        <f aca="false">D973*'Karnataka Fuel Rates'!$C$9</f>
        <v>5332.73638888889</v>
      </c>
    </row>
    <row r="974" customFormat="false" ht="15" hidden="false" customHeight="true" outlineLevel="0" collapsed="false">
      <c r="A974" s="1" t="n">
        <v>968</v>
      </c>
      <c r="B974" s="10" t="n">
        <f aca="false">A974/$B$4</f>
        <v>64.5333333333333</v>
      </c>
      <c r="C974" s="11" t="n">
        <f aca="false">B974*'Karnataka Fuel Rates'!$B$9</f>
        <v>7184.33466666667</v>
      </c>
      <c r="D974" s="10" t="n">
        <f aca="false">A974/$D$4</f>
        <v>53.7777777777778</v>
      </c>
      <c r="E974" s="11" t="n">
        <f aca="false">D974*'Karnataka Fuel Rates'!$C$9</f>
        <v>5338.25111111111</v>
      </c>
    </row>
    <row r="975" customFormat="false" ht="15" hidden="false" customHeight="true" outlineLevel="0" collapsed="false">
      <c r="A975" s="1" t="n">
        <v>969</v>
      </c>
      <c r="B975" s="10" t="n">
        <f aca="false">A975/$B$4</f>
        <v>64.6</v>
      </c>
      <c r="C975" s="11" t="n">
        <f aca="false">B975*'Karnataka Fuel Rates'!$B$9</f>
        <v>7191.7565</v>
      </c>
      <c r="D975" s="10" t="n">
        <f aca="false">A975/$D$4</f>
        <v>53.8333333333333</v>
      </c>
      <c r="E975" s="11" t="n">
        <f aca="false">D975*'Karnataka Fuel Rates'!$C$9</f>
        <v>5343.76583333333</v>
      </c>
    </row>
    <row r="976" customFormat="false" ht="15" hidden="false" customHeight="true" outlineLevel="0" collapsed="false">
      <c r="A976" s="1" t="n">
        <v>970</v>
      </c>
      <c r="B976" s="10" t="n">
        <f aca="false">A976/$B$4</f>
        <v>64.6666666666667</v>
      </c>
      <c r="C976" s="11" t="n">
        <f aca="false">B976*'Karnataka Fuel Rates'!$B$9</f>
        <v>7199.17833333333</v>
      </c>
      <c r="D976" s="10" t="n">
        <f aca="false">A976/$D$4</f>
        <v>53.8888888888889</v>
      </c>
      <c r="E976" s="11" t="n">
        <f aca="false">D976*'Karnataka Fuel Rates'!$C$9</f>
        <v>5349.28055555556</v>
      </c>
    </row>
    <row r="977" customFormat="false" ht="15" hidden="false" customHeight="true" outlineLevel="0" collapsed="false">
      <c r="A977" s="1" t="n">
        <v>971</v>
      </c>
      <c r="B977" s="10" t="n">
        <f aca="false">A977/$B$4</f>
        <v>64.7333333333333</v>
      </c>
      <c r="C977" s="11" t="n">
        <f aca="false">B977*'Karnataka Fuel Rates'!$B$9</f>
        <v>7206.60016666667</v>
      </c>
      <c r="D977" s="10" t="n">
        <f aca="false">A977/$D$4</f>
        <v>53.9444444444444</v>
      </c>
      <c r="E977" s="11" t="n">
        <f aca="false">D977*'Karnataka Fuel Rates'!$C$9</f>
        <v>5354.79527777778</v>
      </c>
    </row>
    <row r="978" customFormat="false" ht="15" hidden="false" customHeight="true" outlineLevel="0" collapsed="false">
      <c r="A978" s="1" t="n">
        <v>972</v>
      </c>
      <c r="B978" s="10" t="n">
        <f aca="false">A978/$B$4</f>
        <v>64.8</v>
      </c>
      <c r="C978" s="11" t="n">
        <f aca="false">B978*'Karnataka Fuel Rates'!$B$9</f>
        <v>7214.022</v>
      </c>
      <c r="D978" s="10" t="n">
        <f aca="false">A978/$D$4</f>
        <v>54</v>
      </c>
      <c r="E978" s="11" t="n">
        <f aca="false">D978*'Karnataka Fuel Rates'!$C$9</f>
        <v>5360.31</v>
      </c>
    </row>
    <row r="979" customFormat="false" ht="15" hidden="false" customHeight="true" outlineLevel="0" collapsed="false">
      <c r="A979" s="1" t="n">
        <v>973</v>
      </c>
      <c r="B979" s="10" t="n">
        <f aca="false">A979/$B$4</f>
        <v>64.8666666666667</v>
      </c>
      <c r="C979" s="11" t="n">
        <f aca="false">B979*'Karnataka Fuel Rates'!$B$9</f>
        <v>7221.44383333333</v>
      </c>
      <c r="D979" s="10" t="n">
        <f aca="false">A979/$D$4</f>
        <v>54.0555555555556</v>
      </c>
      <c r="E979" s="11" t="n">
        <f aca="false">D979*'Karnataka Fuel Rates'!$C$9</f>
        <v>5365.82472222222</v>
      </c>
    </row>
    <row r="980" customFormat="false" ht="15" hidden="false" customHeight="true" outlineLevel="0" collapsed="false">
      <c r="A980" s="1" t="n">
        <v>974</v>
      </c>
      <c r="B980" s="10" t="n">
        <f aca="false">A980/$B$4</f>
        <v>64.9333333333333</v>
      </c>
      <c r="C980" s="11" t="n">
        <f aca="false">B980*'Karnataka Fuel Rates'!$B$9</f>
        <v>7228.86566666667</v>
      </c>
      <c r="D980" s="10" t="n">
        <f aca="false">A980/$D$4</f>
        <v>54.1111111111111</v>
      </c>
      <c r="E980" s="11" t="n">
        <f aca="false">D980*'Karnataka Fuel Rates'!$C$9</f>
        <v>5371.33944444445</v>
      </c>
    </row>
    <row r="981" customFormat="false" ht="15" hidden="false" customHeight="true" outlineLevel="0" collapsed="false">
      <c r="A981" s="1" t="n">
        <v>975</v>
      </c>
      <c r="B981" s="10" t="n">
        <f aca="false">A981/$B$4</f>
        <v>65</v>
      </c>
      <c r="C981" s="11" t="n">
        <f aca="false">B981*'Karnataka Fuel Rates'!$B$9</f>
        <v>7236.2875</v>
      </c>
      <c r="D981" s="10" t="n">
        <f aca="false">A981/$D$4</f>
        <v>54.1666666666667</v>
      </c>
      <c r="E981" s="11" t="n">
        <f aca="false">D981*'Karnataka Fuel Rates'!$C$9</f>
        <v>5376.85416666667</v>
      </c>
    </row>
    <row r="982" customFormat="false" ht="15" hidden="false" customHeight="true" outlineLevel="0" collapsed="false">
      <c r="A982" s="1" t="n">
        <v>976</v>
      </c>
      <c r="B982" s="10" t="n">
        <f aca="false">A982/$B$4</f>
        <v>65.0666666666667</v>
      </c>
      <c r="C982" s="11" t="n">
        <f aca="false">B982*'Karnataka Fuel Rates'!$B$9</f>
        <v>7243.70933333333</v>
      </c>
      <c r="D982" s="10" t="n">
        <f aca="false">A982/$D$4</f>
        <v>54.2222222222222</v>
      </c>
      <c r="E982" s="11" t="n">
        <f aca="false">D982*'Karnataka Fuel Rates'!$C$9</f>
        <v>5382.36888888889</v>
      </c>
    </row>
    <row r="983" customFormat="false" ht="15" hidden="false" customHeight="true" outlineLevel="0" collapsed="false">
      <c r="A983" s="1" t="n">
        <v>977</v>
      </c>
      <c r="B983" s="10" t="n">
        <f aca="false">A983/$B$4</f>
        <v>65.1333333333333</v>
      </c>
      <c r="C983" s="11" t="n">
        <f aca="false">B983*'Karnataka Fuel Rates'!$B$9</f>
        <v>7251.13116666667</v>
      </c>
      <c r="D983" s="10" t="n">
        <f aca="false">A983/$D$4</f>
        <v>54.2777777777778</v>
      </c>
      <c r="E983" s="11" t="n">
        <f aca="false">D983*'Karnataka Fuel Rates'!$C$9</f>
        <v>5387.88361111111</v>
      </c>
    </row>
    <row r="984" customFormat="false" ht="15" hidden="false" customHeight="true" outlineLevel="0" collapsed="false">
      <c r="A984" s="1" t="n">
        <v>978</v>
      </c>
      <c r="B984" s="10" t="n">
        <f aca="false">A984/$B$4</f>
        <v>65.2</v>
      </c>
      <c r="C984" s="11" t="n">
        <f aca="false">B984*'Karnataka Fuel Rates'!$B$9</f>
        <v>7258.553</v>
      </c>
      <c r="D984" s="10" t="n">
        <f aca="false">A984/$D$4</f>
        <v>54.3333333333333</v>
      </c>
      <c r="E984" s="11" t="n">
        <f aca="false">D984*'Karnataka Fuel Rates'!$C$9</f>
        <v>5393.39833333333</v>
      </c>
    </row>
    <row r="985" customFormat="false" ht="15" hidden="false" customHeight="true" outlineLevel="0" collapsed="false">
      <c r="A985" s="1" t="n">
        <v>979</v>
      </c>
      <c r="B985" s="10" t="n">
        <f aca="false">A985/$B$4</f>
        <v>65.2666666666667</v>
      </c>
      <c r="C985" s="11" t="n">
        <f aca="false">B985*'Karnataka Fuel Rates'!$B$9</f>
        <v>7265.97483333333</v>
      </c>
      <c r="D985" s="10" t="n">
        <f aca="false">A985/$D$4</f>
        <v>54.3888888888889</v>
      </c>
      <c r="E985" s="11" t="n">
        <f aca="false">D985*'Karnataka Fuel Rates'!$C$9</f>
        <v>5398.91305555556</v>
      </c>
    </row>
    <row r="986" customFormat="false" ht="15" hidden="false" customHeight="true" outlineLevel="0" collapsed="false">
      <c r="A986" s="1" t="n">
        <v>980</v>
      </c>
      <c r="B986" s="10" t="n">
        <f aca="false">A986/$B$4</f>
        <v>65.3333333333333</v>
      </c>
      <c r="C986" s="11" t="n">
        <f aca="false">B986*'Karnataka Fuel Rates'!$B$9</f>
        <v>7273.39666666667</v>
      </c>
      <c r="D986" s="10" t="n">
        <f aca="false">A986/$D$4</f>
        <v>54.4444444444444</v>
      </c>
      <c r="E986" s="11" t="n">
        <f aca="false">D986*'Karnataka Fuel Rates'!$C$9</f>
        <v>5404.42777777778</v>
      </c>
    </row>
    <row r="987" customFormat="false" ht="15" hidden="false" customHeight="true" outlineLevel="0" collapsed="false">
      <c r="A987" s="1" t="n">
        <v>981</v>
      </c>
      <c r="B987" s="10" t="n">
        <f aca="false">A987/$B$4</f>
        <v>65.4</v>
      </c>
      <c r="C987" s="11" t="n">
        <f aca="false">B987*'Karnataka Fuel Rates'!$B$9</f>
        <v>7280.8185</v>
      </c>
      <c r="D987" s="10" t="n">
        <f aca="false">A987/$D$4</f>
        <v>54.5</v>
      </c>
      <c r="E987" s="11" t="n">
        <f aca="false">D987*'Karnataka Fuel Rates'!$C$9</f>
        <v>5409.9425</v>
      </c>
    </row>
    <row r="988" customFormat="false" ht="15" hidden="false" customHeight="true" outlineLevel="0" collapsed="false">
      <c r="A988" s="1" t="n">
        <v>982</v>
      </c>
      <c r="B988" s="10" t="n">
        <f aca="false">A988/$B$4</f>
        <v>65.4666666666667</v>
      </c>
      <c r="C988" s="11" t="n">
        <f aca="false">B988*'Karnataka Fuel Rates'!$B$9</f>
        <v>7288.24033333333</v>
      </c>
      <c r="D988" s="10" t="n">
        <f aca="false">A988/$D$4</f>
        <v>54.5555555555556</v>
      </c>
      <c r="E988" s="11" t="n">
        <f aca="false">D988*'Karnataka Fuel Rates'!$C$9</f>
        <v>5415.45722222222</v>
      </c>
    </row>
    <row r="989" customFormat="false" ht="15" hidden="false" customHeight="true" outlineLevel="0" collapsed="false">
      <c r="A989" s="1" t="n">
        <v>983</v>
      </c>
      <c r="B989" s="10" t="n">
        <f aca="false">A989/$B$4</f>
        <v>65.5333333333333</v>
      </c>
      <c r="C989" s="11" t="n">
        <f aca="false">B989*'Karnataka Fuel Rates'!$B$9</f>
        <v>7295.66216666667</v>
      </c>
      <c r="D989" s="10" t="n">
        <f aca="false">A989/$D$4</f>
        <v>54.6111111111111</v>
      </c>
      <c r="E989" s="11" t="n">
        <f aca="false">D989*'Karnataka Fuel Rates'!$C$9</f>
        <v>5420.97194444444</v>
      </c>
    </row>
    <row r="990" customFormat="false" ht="15" hidden="false" customHeight="true" outlineLevel="0" collapsed="false">
      <c r="A990" s="1" t="n">
        <v>984</v>
      </c>
      <c r="B990" s="10" t="n">
        <f aca="false">A990/$B$4</f>
        <v>65.6</v>
      </c>
      <c r="C990" s="11" t="n">
        <f aca="false">B990*'Karnataka Fuel Rates'!$B$9</f>
        <v>7303.084</v>
      </c>
      <c r="D990" s="10" t="n">
        <f aca="false">A990/$D$4</f>
        <v>54.6666666666667</v>
      </c>
      <c r="E990" s="11" t="n">
        <f aca="false">D990*'Karnataka Fuel Rates'!$C$9</f>
        <v>5426.48666666667</v>
      </c>
    </row>
    <row r="991" customFormat="false" ht="15" hidden="false" customHeight="true" outlineLevel="0" collapsed="false">
      <c r="A991" s="1" t="n">
        <v>985</v>
      </c>
      <c r="B991" s="10" t="n">
        <f aca="false">A991/$B$4</f>
        <v>65.6666666666667</v>
      </c>
      <c r="C991" s="11" t="n">
        <f aca="false">B991*'Karnataka Fuel Rates'!$B$9</f>
        <v>7310.50583333333</v>
      </c>
      <c r="D991" s="10" t="n">
        <f aca="false">A991/$D$4</f>
        <v>54.7222222222222</v>
      </c>
      <c r="E991" s="11" t="n">
        <f aca="false">D991*'Karnataka Fuel Rates'!$C$9</f>
        <v>5432.00138888889</v>
      </c>
    </row>
    <row r="992" customFormat="false" ht="15" hidden="false" customHeight="true" outlineLevel="0" collapsed="false">
      <c r="A992" s="1" t="n">
        <v>986</v>
      </c>
      <c r="B992" s="10" t="n">
        <f aca="false">A992/$B$4</f>
        <v>65.7333333333333</v>
      </c>
      <c r="C992" s="11" t="n">
        <f aca="false">B992*'Karnataka Fuel Rates'!$B$9</f>
        <v>7317.92766666667</v>
      </c>
      <c r="D992" s="10" t="n">
        <f aca="false">A992/$D$4</f>
        <v>54.7777777777778</v>
      </c>
      <c r="E992" s="11" t="n">
        <f aca="false">D992*'Karnataka Fuel Rates'!$C$9</f>
        <v>5437.51611111111</v>
      </c>
    </row>
    <row r="993" customFormat="false" ht="15" hidden="false" customHeight="true" outlineLevel="0" collapsed="false">
      <c r="A993" s="1" t="n">
        <v>987</v>
      </c>
      <c r="B993" s="10" t="n">
        <f aca="false">A993/$B$4</f>
        <v>65.8</v>
      </c>
      <c r="C993" s="11" t="n">
        <f aca="false">B993*'Karnataka Fuel Rates'!$B$9</f>
        <v>7325.3495</v>
      </c>
      <c r="D993" s="10" t="n">
        <f aca="false">A993/$D$4</f>
        <v>54.8333333333333</v>
      </c>
      <c r="E993" s="11" t="n">
        <f aca="false">D993*'Karnataka Fuel Rates'!$C$9</f>
        <v>5443.03083333333</v>
      </c>
    </row>
    <row r="994" customFormat="false" ht="15" hidden="false" customHeight="true" outlineLevel="0" collapsed="false">
      <c r="A994" s="1" t="n">
        <v>988</v>
      </c>
      <c r="B994" s="10" t="n">
        <f aca="false">A994/$B$4</f>
        <v>65.8666666666667</v>
      </c>
      <c r="C994" s="11" t="n">
        <f aca="false">B994*'Karnataka Fuel Rates'!$B$9</f>
        <v>7332.77133333333</v>
      </c>
      <c r="D994" s="10" t="n">
        <f aca="false">A994/$D$4</f>
        <v>54.8888888888889</v>
      </c>
      <c r="E994" s="11" t="n">
        <f aca="false">D994*'Karnataka Fuel Rates'!$C$9</f>
        <v>5448.54555555556</v>
      </c>
    </row>
    <row r="995" customFormat="false" ht="15" hidden="false" customHeight="true" outlineLevel="0" collapsed="false">
      <c r="A995" s="1" t="n">
        <v>989</v>
      </c>
      <c r="B995" s="10" t="n">
        <f aca="false">A995/$B$4</f>
        <v>65.9333333333333</v>
      </c>
      <c r="C995" s="11" t="n">
        <f aca="false">B995*'Karnataka Fuel Rates'!$B$9</f>
        <v>7340.19316666667</v>
      </c>
      <c r="D995" s="10" t="n">
        <f aca="false">A995/$D$4</f>
        <v>54.9444444444444</v>
      </c>
      <c r="E995" s="11" t="n">
        <f aca="false">D995*'Karnataka Fuel Rates'!$C$9</f>
        <v>5454.06027777778</v>
      </c>
    </row>
    <row r="996" customFormat="false" ht="15" hidden="false" customHeight="true" outlineLevel="0" collapsed="false">
      <c r="A996" s="1" t="n">
        <v>990</v>
      </c>
      <c r="B996" s="10" t="n">
        <f aca="false">A996/$B$4</f>
        <v>66</v>
      </c>
      <c r="C996" s="11" t="n">
        <f aca="false">B996*'Karnataka Fuel Rates'!$B$9</f>
        <v>7347.615</v>
      </c>
      <c r="D996" s="10" t="n">
        <f aca="false">A996/$D$4</f>
        <v>55</v>
      </c>
      <c r="E996" s="11" t="n">
        <f aca="false">D996*'Karnataka Fuel Rates'!$C$9</f>
        <v>5459.575</v>
      </c>
    </row>
    <row r="997" customFormat="false" ht="15" hidden="false" customHeight="true" outlineLevel="0" collapsed="false">
      <c r="A997" s="1" t="n">
        <v>991</v>
      </c>
      <c r="B997" s="10" t="n">
        <f aca="false">A997/$B$4</f>
        <v>66.0666666666667</v>
      </c>
      <c r="C997" s="11" t="n">
        <f aca="false">B997*'Karnataka Fuel Rates'!$B$9</f>
        <v>7355.03683333333</v>
      </c>
      <c r="D997" s="10" t="n">
        <f aca="false">A997/$D$4</f>
        <v>55.0555555555556</v>
      </c>
      <c r="E997" s="11" t="n">
        <f aca="false">D997*'Karnataka Fuel Rates'!$C$9</f>
        <v>5465.08972222222</v>
      </c>
    </row>
    <row r="998" customFormat="false" ht="15" hidden="false" customHeight="true" outlineLevel="0" collapsed="false">
      <c r="A998" s="1" t="n">
        <v>992</v>
      </c>
      <c r="B998" s="10" t="n">
        <f aca="false">A998/$B$4</f>
        <v>66.1333333333333</v>
      </c>
      <c r="C998" s="11" t="n">
        <f aca="false">B998*'Karnataka Fuel Rates'!$B$9</f>
        <v>7362.45866666667</v>
      </c>
      <c r="D998" s="10" t="n">
        <f aca="false">A998/$D$4</f>
        <v>55.1111111111111</v>
      </c>
      <c r="E998" s="11" t="n">
        <f aca="false">D998*'Karnataka Fuel Rates'!$C$9</f>
        <v>5470.60444444445</v>
      </c>
    </row>
    <row r="999" customFormat="false" ht="15" hidden="false" customHeight="true" outlineLevel="0" collapsed="false">
      <c r="A999" s="1" t="n">
        <v>993</v>
      </c>
      <c r="B999" s="10" t="n">
        <f aca="false">A999/$B$4</f>
        <v>66.2</v>
      </c>
      <c r="C999" s="11" t="n">
        <f aca="false">B999*'Karnataka Fuel Rates'!$B$9</f>
        <v>7369.8805</v>
      </c>
      <c r="D999" s="10" t="n">
        <f aca="false">A999/$D$4</f>
        <v>55.1666666666667</v>
      </c>
      <c r="E999" s="11" t="n">
        <f aca="false">D999*'Karnataka Fuel Rates'!$C$9</f>
        <v>5476.11916666667</v>
      </c>
    </row>
    <row r="1000" customFormat="false" ht="15" hidden="false" customHeight="true" outlineLevel="0" collapsed="false">
      <c r="A1000" s="1" t="n">
        <v>994</v>
      </c>
      <c r="B1000" s="10" t="n">
        <f aca="false">A1000/$B$4</f>
        <v>66.2666666666667</v>
      </c>
      <c r="C1000" s="11" t="n">
        <f aca="false">B1000*'Karnataka Fuel Rates'!$B$9</f>
        <v>7377.30233333333</v>
      </c>
      <c r="D1000" s="10" t="n">
        <f aca="false">A1000/$D$4</f>
        <v>55.2222222222222</v>
      </c>
      <c r="E1000" s="11" t="n">
        <f aca="false">D1000*'Karnataka Fuel Rates'!$C$9</f>
        <v>5481.63388888889</v>
      </c>
    </row>
    <row r="1001" customFormat="false" ht="15" hidden="false" customHeight="true" outlineLevel="0" collapsed="false">
      <c r="A1001" s="1" t="n">
        <v>995</v>
      </c>
      <c r="B1001" s="10" t="n">
        <f aca="false">A1001/$B$4</f>
        <v>66.3333333333333</v>
      </c>
      <c r="C1001" s="11" t="n">
        <f aca="false">B1001*'Karnataka Fuel Rates'!$B$9</f>
        <v>7384.72416666667</v>
      </c>
      <c r="D1001" s="10" t="n">
        <f aca="false">A1001/$D$4</f>
        <v>55.2777777777778</v>
      </c>
      <c r="E1001" s="11" t="n">
        <f aca="false">D1001*'Karnataka Fuel Rates'!$C$9</f>
        <v>5487.14861111111</v>
      </c>
    </row>
    <row r="1002" customFormat="false" ht="15" hidden="false" customHeight="true" outlineLevel="0" collapsed="false">
      <c r="A1002" s="1" t="n">
        <v>996</v>
      </c>
      <c r="B1002" s="10" t="n">
        <f aca="false">A1002/$B$4</f>
        <v>66.4</v>
      </c>
      <c r="C1002" s="11" t="n">
        <f aca="false">B1002*'Karnataka Fuel Rates'!$B$9</f>
        <v>7392.146</v>
      </c>
      <c r="D1002" s="10" t="n">
        <f aca="false">A1002/$D$4</f>
        <v>55.3333333333333</v>
      </c>
      <c r="E1002" s="11" t="n">
        <f aca="false">D1002*'Karnataka Fuel Rates'!$C$9</f>
        <v>5492.66333333333</v>
      </c>
    </row>
    <row r="1003" customFormat="false" ht="15" hidden="false" customHeight="true" outlineLevel="0" collapsed="false">
      <c r="A1003" s="1" t="n">
        <v>997</v>
      </c>
      <c r="B1003" s="10" t="n">
        <f aca="false">A1003/$B$4</f>
        <v>66.4666666666667</v>
      </c>
      <c r="C1003" s="11" t="n">
        <f aca="false">B1003*'Karnataka Fuel Rates'!$B$9</f>
        <v>7399.56783333333</v>
      </c>
      <c r="D1003" s="10" t="n">
        <f aca="false">A1003/$D$4</f>
        <v>55.3888888888889</v>
      </c>
      <c r="E1003" s="11" t="n">
        <f aca="false">D1003*'Karnataka Fuel Rates'!$C$9</f>
        <v>5498.17805555556</v>
      </c>
    </row>
    <row r="1004" customFormat="false" ht="15" hidden="false" customHeight="true" outlineLevel="0" collapsed="false">
      <c r="A1004" s="1" t="n">
        <v>998</v>
      </c>
      <c r="B1004" s="10" t="n">
        <f aca="false">A1004/$B$4</f>
        <v>66.5333333333333</v>
      </c>
      <c r="C1004" s="11" t="n">
        <f aca="false">B1004*'Karnataka Fuel Rates'!$B$9</f>
        <v>7406.98966666667</v>
      </c>
      <c r="D1004" s="10" t="n">
        <f aca="false">A1004/$D$4</f>
        <v>55.4444444444444</v>
      </c>
      <c r="E1004" s="11" t="n">
        <f aca="false">D1004*'Karnataka Fuel Rates'!$C$9</f>
        <v>5503.69277777778</v>
      </c>
    </row>
    <row r="1005" customFormat="false" ht="15" hidden="false" customHeight="true" outlineLevel="0" collapsed="false">
      <c r="A1005" s="1" t="n">
        <v>999</v>
      </c>
      <c r="B1005" s="10" t="n">
        <f aca="false">A1005/$B$4</f>
        <v>66.6</v>
      </c>
      <c r="C1005" s="11" t="n">
        <f aca="false">B1005*'Karnataka Fuel Rates'!$B$9</f>
        <v>7414.4115</v>
      </c>
      <c r="D1005" s="10" t="n">
        <f aca="false">A1005/$D$4</f>
        <v>55.5</v>
      </c>
      <c r="E1005" s="11" t="n">
        <f aca="false">D1005*'Karnataka Fuel Rates'!$C$9</f>
        <v>5509.2075</v>
      </c>
    </row>
    <row r="1006" customFormat="false" ht="15" hidden="false" customHeight="true" outlineLevel="0" collapsed="false">
      <c r="A1006" s="1" t="n">
        <v>1000</v>
      </c>
      <c r="B1006" s="10" t="n">
        <f aca="false">A1006/$B$4</f>
        <v>66.6666666666667</v>
      </c>
      <c r="C1006" s="11" t="n">
        <f aca="false">B1006*'Karnataka Fuel Rates'!$B$9</f>
        <v>7421.83333333333</v>
      </c>
      <c r="D1006" s="10" t="n">
        <f aca="false">A1006/$D$4</f>
        <v>55.5555555555556</v>
      </c>
      <c r="E1006" s="11" t="n">
        <f aca="false">D1006*'Karnataka Fuel Rates'!$C$9</f>
        <v>5514.72222222222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2026-06-30T11:29:00Z</dcterms:created>
  <dc:creator>openpyxl</dc:creator>
  <dc:description/>
  <dc:language>en-US</dc:language>
  <cp:lastModifiedBy/>
  <dcterms:modified xsi:type="dcterms:W3CDTF">2026-06-30T11:32:57Z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